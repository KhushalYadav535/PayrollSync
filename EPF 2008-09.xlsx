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64a723f1-c541-40f2-a73f-86f79c8387c4\"/>
    </mc:Choice>
  </mc:AlternateContent>
  <xr:revisionPtr revIDLastSave="0" documentId="8_{82DCCB22-AF93-40CE-8BFD-9DD21296E428}" xr6:coauthVersionLast="47" xr6:coauthVersionMax="47" xr10:uidLastSave="{00000000-0000-0000-0000-000000000000}"/>
  <bookViews>
    <workbookView xWindow="-120" yWindow="-120" windowWidth="19440" windowHeight="10440" firstSheet="3" activeTab="11"/>
  </bookViews>
  <sheets>
    <sheet name="Apr08" sheetId="1" r:id="rId1"/>
    <sheet name="May08" sheetId="2" r:id="rId2"/>
    <sheet name="Jun08" sheetId="3" r:id="rId3"/>
    <sheet name="Jul08" sheetId="4" r:id="rId4"/>
    <sheet name="Aug08" sheetId="6" r:id="rId5"/>
    <sheet name="Sep08" sheetId="7" r:id="rId6"/>
    <sheet name="Oct08" sheetId="8" r:id="rId7"/>
    <sheet name="Nov08" sheetId="9" r:id="rId8"/>
    <sheet name="Dec08" sheetId="10" r:id="rId9"/>
    <sheet name="Jan09" sheetId="12" r:id="rId10"/>
    <sheet name="Feb09" sheetId="11" r:id="rId11"/>
    <sheet name="Mar09" sheetId="13" r:id="rId12"/>
  </sheets>
  <definedNames>
    <definedName name="_xlnm._FilterDatabase" localSheetId="8" hidden="1">'Dec08'!$A$2:$H$58</definedName>
    <definedName name="_xlnm._FilterDatabase" localSheetId="10" hidden="1">'Feb09'!$A$2:$H$63</definedName>
    <definedName name="_xlnm._FilterDatabase" localSheetId="9" hidden="1">'Jan09'!$A$2:$G$61</definedName>
    <definedName name="_xlnm._FilterDatabase" localSheetId="5" hidden="1">'Sep08'!$A$2:$F$2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5" i="3" l="1"/>
  <c r="G36" i="1"/>
  <c r="H14" i="6"/>
  <c r="H17" i="6"/>
  <c r="H24" i="10"/>
  <c r="H30" i="11"/>
  <c r="H30" i="13"/>
  <c r="H36" i="13"/>
  <c r="H36" i="11"/>
  <c r="H34" i="12"/>
  <c r="H31" i="10"/>
  <c r="H30" i="9"/>
  <c r="H10" i="13"/>
  <c r="H10" i="11"/>
  <c r="H8" i="13"/>
  <c r="H8" i="11"/>
  <c r="H8" i="12"/>
  <c r="G80" i="13"/>
  <c r="G82" i="13"/>
  <c r="I82" i="13" s="1"/>
  <c r="G63" i="13"/>
  <c r="F63" i="13"/>
  <c r="I62" i="13"/>
  <c r="H62" i="13"/>
  <c r="H61" i="13"/>
  <c r="I60" i="13"/>
  <c r="H60" i="13"/>
  <c r="I59" i="13"/>
  <c r="H59" i="13"/>
  <c r="I58" i="13"/>
  <c r="H58" i="13"/>
  <c r="I57" i="13"/>
  <c r="H57" i="13"/>
  <c r="I56" i="13"/>
  <c r="H56" i="13"/>
  <c r="I55" i="13"/>
  <c r="H55" i="13"/>
  <c r="I54" i="13"/>
  <c r="H54" i="13"/>
  <c r="I53" i="13"/>
  <c r="H53" i="13"/>
  <c r="I52" i="13"/>
  <c r="H52" i="13"/>
  <c r="I51" i="13"/>
  <c r="H51" i="13"/>
  <c r="I50" i="13"/>
  <c r="H50" i="13"/>
  <c r="H49" i="13"/>
  <c r="I48" i="13"/>
  <c r="H48" i="13"/>
  <c r="I47" i="13"/>
  <c r="H47" i="13"/>
  <c r="I46" i="13"/>
  <c r="H46" i="13"/>
  <c r="I45" i="13"/>
  <c r="H45" i="13"/>
  <c r="I44" i="13"/>
  <c r="H44" i="13"/>
  <c r="H43" i="13"/>
  <c r="H42" i="13"/>
  <c r="I41" i="13"/>
  <c r="H41" i="13"/>
  <c r="H40" i="13"/>
  <c r="I39" i="13"/>
  <c r="H39" i="13"/>
  <c r="I38" i="13"/>
  <c r="H38" i="13"/>
  <c r="I37" i="13"/>
  <c r="H37" i="13"/>
  <c r="H35" i="13"/>
  <c r="I34" i="13"/>
  <c r="H34" i="13"/>
  <c r="H33" i="13"/>
  <c r="I32" i="13"/>
  <c r="H32" i="13"/>
  <c r="I31" i="13"/>
  <c r="H31" i="13"/>
  <c r="H29" i="13"/>
  <c r="I28" i="13"/>
  <c r="H28" i="13"/>
  <c r="H27" i="13"/>
  <c r="I26" i="13"/>
  <c r="H26" i="13"/>
  <c r="H25" i="13"/>
  <c r="I24" i="13"/>
  <c r="H24" i="13"/>
  <c r="I23" i="13"/>
  <c r="H23" i="13"/>
  <c r="H22" i="13"/>
  <c r="I21" i="13"/>
  <c r="H21" i="13"/>
  <c r="I20" i="13"/>
  <c r="H20" i="13"/>
  <c r="H19" i="13"/>
  <c r="H18" i="13"/>
  <c r="H17" i="13"/>
  <c r="H16" i="13"/>
  <c r="H15" i="13"/>
  <c r="H14" i="13"/>
  <c r="H13" i="13"/>
  <c r="H12" i="13"/>
  <c r="H11" i="13"/>
  <c r="H9" i="13"/>
  <c r="H7" i="13"/>
  <c r="H6" i="13"/>
  <c r="H63" i="13" s="1"/>
  <c r="H5" i="13"/>
  <c r="H4" i="13"/>
  <c r="H3" i="13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27" i="11"/>
  <c r="H28" i="11"/>
  <c r="H29" i="11"/>
  <c r="H31" i="11"/>
  <c r="H32" i="11"/>
  <c r="H33" i="11"/>
  <c r="H34" i="11"/>
  <c r="H35" i="11"/>
  <c r="H37" i="11"/>
  <c r="H38" i="11"/>
  <c r="H39" i="11"/>
  <c r="H40" i="11"/>
  <c r="H41" i="11"/>
  <c r="H42" i="11"/>
  <c r="H43" i="11"/>
  <c r="H24" i="11"/>
  <c r="H25" i="11"/>
  <c r="H26" i="11"/>
  <c r="H22" i="11"/>
  <c r="H19" i="11"/>
  <c r="H20" i="11"/>
  <c r="H17" i="11"/>
  <c r="H15" i="11"/>
  <c r="H12" i="11"/>
  <c r="H9" i="11"/>
  <c r="H5" i="11"/>
  <c r="H6" i="11"/>
  <c r="G80" i="11"/>
  <c r="G82" i="11"/>
  <c r="I82" i="11" s="1"/>
  <c r="G63" i="11"/>
  <c r="F63" i="11"/>
  <c r="I62" i="11"/>
  <c r="I60" i="11"/>
  <c r="I59" i="11"/>
  <c r="I58" i="11"/>
  <c r="I57" i="11"/>
  <c r="I56" i="11"/>
  <c r="I55" i="11"/>
  <c r="I54" i="11"/>
  <c r="I53" i="11"/>
  <c r="I52" i="11"/>
  <c r="I51" i="11"/>
  <c r="I50" i="11"/>
  <c r="I48" i="11"/>
  <c r="I47" i="11"/>
  <c r="I46" i="11"/>
  <c r="I45" i="11"/>
  <c r="I44" i="11"/>
  <c r="I41" i="11"/>
  <c r="I39" i="11"/>
  <c r="I38" i="11"/>
  <c r="I37" i="11"/>
  <c r="I34" i="11"/>
  <c r="I32" i="11"/>
  <c r="I31" i="11"/>
  <c r="I28" i="11"/>
  <c r="I26" i="11"/>
  <c r="I24" i="11"/>
  <c r="I23" i="11"/>
  <c r="H23" i="11"/>
  <c r="I21" i="11"/>
  <c r="H21" i="11"/>
  <c r="I20" i="11"/>
  <c r="H18" i="11"/>
  <c r="I17" i="11"/>
  <c r="I16" i="11"/>
  <c r="H16" i="11"/>
  <c r="I15" i="11"/>
  <c r="I14" i="11"/>
  <c r="H14" i="11"/>
  <c r="I13" i="11"/>
  <c r="H13" i="11"/>
  <c r="I11" i="11"/>
  <c r="H11" i="11"/>
  <c r="I9" i="11"/>
  <c r="I7" i="11"/>
  <c r="H7" i="11"/>
  <c r="I5" i="11"/>
  <c r="I4" i="11"/>
  <c r="H4" i="11"/>
  <c r="I3" i="11"/>
  <c r="H3" i="11"/>
  <c r="H63" i="11" s="1"/>
  <c r="H11" i="12"/>
  <c r="H26" i="12"/>
  <c r="H33" i="12"/>
  <c r="G78" i="12"/>
  <c r="G80" i="12" s="1"/>
  <c r="I80" i="12" s="1"/>
  <c r="G61" i="12"/>
  <c r="F61" i="12"/>
  <c r="I60" i="12"/>
  <c r="H60" i="12"/>
  <c r="H59" i="12"/>
  <c r="I58" i="12"/>
  <c r="H58" i="12"/>
  <c r="I57" i="12"/>
  <c r="H57" i="12"/>
  <c r="I56" i="12"/>
  <c r="H56" i="12"/>
  <c r="I55" i="12"/>
  <c r="H55" i="12"/>
  <c r="I54" i="12"/>
  <c r="H54" i="12"/>
  <c r="I53" i="12"/>
  <c r="H53" i="12"/>
  <c r="I52" i="12"/>
  <c r="H52" i="12"/>
  <c r="I51" i="12"/>
  <c r="H51" i="12"/>
  <c r="I50" i="12"/>
  <c r="H50" i="12"/>
  <c r="I49" i="12"/>
  <c r="H49" i="12"/>
  <c r="I48" i="12"/>
  <c r="H48" i="12"/>
  <c r="H47" i="12"/>
  <c r="I46" i="12"/>
  <c r="H46" i="12"/>
  <c r="I45" i="12"/>
  <c r="H45" i="12"/>
  <c r="I44" i="12"/>
  <c r="H44" i="12"/>
  <c r="I43" i="12"/>
  <c r="H43" i="12"/>
  <c r="I42" i="12"/>
  <c r="H42" i="12"/>
  <c r="H41" i="12"/>
  <c r="H40" i="12"/>
  <c r="I39" i="12"/>
  <c r="H39" i="12"/>
  <c r="H38" i="12"/>
  <c r="I37" i="12"/>
  <c r="H37" i="12"/>
  <c r="I36" i="12"/>
  <c r="H36" i="12"/>
  <c r="I35" i="12"/>
  <c r="H35" i="12"/>
  <c r="I32" i="12"/>
  <c r="H32" i="12"/>
  <c r="H31" i="12"/>
  <c r="I30" i="12"/>
  <c r="H30" i="12"/>
  <c r="I29" i="12"/>
  <c r="H29" i="12"/>
  <c r="H28" i="12"/>
  <c r="I27" i="12"/>
  <c r="H27" i="12"/>
  <c r="I25" i="12"/>
  <c r="H25" i="12"/>
  <c r="H24" i="12"/>
  <c r="I23" i="12"/>
  <c r="H23" i="12"/>
  <c r="I22" i="12"/>
  <c r="H22" i="12"/>
  <c r="H21" i="12"/>
  <c r="I20" i="12"/>
  <c r="H20" i="12"/>
  <c r="I19" i="12"/>
  <c r="H19" i="12"/>
  <c r="H18" i="12"/>
  <c r="H17" i="12"/>
  <c r="I16" i="12"/>
  <c r="H16" i="12"/>
  <c r="I15" i="12"/>
  <c r="H15" i="12"/>
  <c r="I14" i="12"/>
  <c r="H14" i="12"/>
  <c r="I13" i="12"/>
  <c r="H13" i="12"/>
  <c r="I12" i="12"/>
  <c r="H12" i="12"/>
  <c r="I10" i="12"/>
  <c r="H10" i="12"/>
  <c r="I9" i="12"/>
  <c r="H9" i="12"/>
  <c r="I7" i="12"/>
  <c r="H7" i="12"/>
  <c r="H6" i="12"/>
  <c r="I5" i="12"/>
  <c r="H5" i="12"/>
  <c r="I4" i="12"/>
  <c r="H4" i="12"/>
  <c r="H61" i="12" s="1"/>
  <c r="I3" i="12"/>
  <c r="H3" i="12"/>
  <c r="G75" i="10"/>
  <c r="G77" i="10"/>
  <c r="I77" i="10" s="1"/>
  <c r="G58" i="10"/>
  <c r="F58" i="10"/>
  <c r="I57" i="10"/>
  <c r="H57" i="10"/>
  <c r="H56" i="10"/>
  <c r="I55" i="10"/>
  <c r="H55" i="10"/>
  <c r="I54" i="10"/>
  <c r="H54" i="10"/>
  <c r="I53" i="10"/>
  <c r="H53" i="10"/>
  <c r="I52" i="10"/>
  <c r="H52" i="10"/>
  <c r="I51" i="10"/>
  <c r="H51" i="10"/>
  <c r="I50" i="10"/>
  <c r="H50" i="10"/>
  <c r="I49" i="10"/>
  <c r="H49" i="10"/>
  <c r="I48" i="10"/>
  <c r="H48" i="10"/>
  <c r="I47" i="10"/>
  <c r="H47" i="10"/>
  <c r="I46" i="10"/>
  <c r="H46" i="10"/>
  <c r="I45" i="10"/>
  <c r="H45" i="10"/>
  <c r="H44" i="10"/>
  <c r="I43" i="10"/>
  <c r="H43" i="10"/>
  <c r="I42" i="10"/>
  <c r="H42" i="10"/>
  <c r="I41" i="10"/>
  <c r="H41" i="10"/>
  <c r="I40" i="10"/>
  <c r="H40" i="10"/>
  <c r="I39" i="10"/>
  <c r="H39" i="10"/>
  <c r="H38" i="10"/>
  <c r="H37" i="10"/>
  <c r="I36" i="10"/>
  <c r="H36" i="10"/>
  <c r="H35" i="10"/>
  <c r="I34" i="10"/>
  <c r="H34" i="10"/>
  <c r="I33" i="10"/>
  <c r="H33" i="10"/>
  <c r="I32" i="10"/>
  <c r="H32" i="10"/>
  <c r="I30" i="10"/>
  <c r="H30" i="10"/>
  <c r="H29" i="10"/>
  <c r="I28" i="10"/>
  <c r="H28" i="10"/>
  <c r="I27" i="10"/>
  <c r="H27" i="10"/>
  <c r="H26" i="10"/>
  <c r="I25" i="10"/>
  <c r="H25" i="10"/>
  <c r="I23" i="10"/>
  <c r="H23" i="10"/>
  <c r="H22" i="10"/>
  <c r="I21" i="10"/>
  <c r="H21" i="10"/>
  <c r="I20" i="10"/>
  <c r="H20" i="10"/>
  <c r="H19" i="10"/>
  <c r="I18" i="10"/>
  <c r="H18" i="10"/>
  <c r="I17" i="10"/>
  <c r="H17" i="10"/>
  <c r="H16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H6" i="10"/>
  <c r="I5" i="10"/>
  <c r="H5" i="10"/>
  <c r="I4" i="10"/>
  <c r="H4" i="10"/>
  <c r="I3" i="10"/>
  <c r="H3" i="10"/>
  <c r="H58" i="10" s="1"/>
  <c r="G74" i="9"/>
  <c r="G76" i="9"/>
  <c r="I76" i="9" s="1"/>
  <c r="G57" i="9"/>
  <c r="F57" i="9"/>
  <c r="I56" i="9"/>
  <c r="H56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8" i="9"/>
  <c r="H48" i="9"/>
  <c r="I47" i="9"/>
  <c r="H47" i="9"/>
  <c r="I46" i="9"/>
  <c r="H46" i="9"/>
  <c r="I45" i="9"/>
  <c r="H45" i="9"/>
  <c r="I44" i="9"/>
  <c r="H44" i="9"/>
  <c r="H43" i="9"/>
  <c r="I42" i="9"/>
  <c r="H42" i="9"/>
  <c r="I41" i="9"/>
  <c r="H41" i="9"/>
  <c r="I40" i="9"/>
  <c r="H40" i="9"/>
  <c r="I39" i="9"/>
  <c r="H39" i="9"/>
  <c r="I38" i="9"/>
  <c r="H38" i="9"/>
  <c r="H37" i="9"/>
  <c r="H36" i="9"/>
  <c r="I35" i="9"/>
  <c r="H35" i="9"/>
  <c r="H34" i="9"/>
  <c r="I33" i="9"/>
  <c r="H33" i="9"/>
  <c r="I32" i="9"/>
  <c r="H32" i="9"/>
  <c r="I31" i="9"/>
  <c r="H31" i="9"/>
  <c r="I29" i="9"/>
  <c r="H29" i="9"/>
  <c r="H28" i="9"/>
  <c r="I27" i="9"/>
  <c r="H27" i="9"/>
  <c r="I26" i="9"/>
  <c r="H26" i="9"/>
  <c r="H25" i="9"/>
  <c r="I24" i="9"/>
  <c r="H24" i="9"/>
  <c r="I23" i="9"/>
  <c r="H23" i="9"/>
  <c r="H22" i="9"/>
  <c r="I21" i="9"/>
  <c r="H21" i="9"/>
  <c r="I20" i="9"/>
  <c r="H20" i="9"/>
  <c r="H19" i="9"/>
  <c r="I18" i="9"/>
  <c r="H18" i="9"/>
  <c r="I17" i="9"/>
  <c r="H17" i="9"/>
  <c r="H16" i="9"/>
  <c r="H15" i="9"/>
  <c r="I14" i="9"/>
  <c r="H14" i="9"/>
  <c r="I13" i="9"/>
  <c r="H13" i="9"/>
  <c r="I12" i="9"/>
  <c r="H12" i="9"/>
  <c r="I11" i="9"/>
  <c r="H11" i="9"/>
  <c r="I10" i="9"/>
  <c r="H10" i="9"/>
  <c r="H57" i="9" s="1"/>
  <c r="I9" i="9"/>
  <c r="H9" i="9"/>
  <c r="I8" i="9"/>
  <c r="H8" i="9"/>
  <c r="I7" i="9"/>
  <c r="H7" i="9"/>
  <c r="H6" i="9"/>
  <c r="I5" i="9"/>
  <c r="H5" i="9"/>
  <c r="I4" i="9"/>
  <c r="H4" i="9"/>
  <c r="I3" i="9"/>
  <c r="H3" i="9"/>
  <c r="H33" i="8"/>
  <c r="H28" i="8"/>
  <c r="H22" i="8"/>
  <c r="H6" i="8"/>
  <c r="H54" i="8"/>
  <c r="G73" i="8"/>
  <c r="G75" i="8" s="1"/>
  <c r="I75" i="8" s="1"/>
  <c r="G56" i="8"/>
  <c r="F56" i="8"/>
  <c r="I55" i="8"/>
  <c r="H55" i="8"/>
  <c r="I53" i="8"/>
  <c r="H53" i="8"/>
  <c r="I52" i="8"/>
  <c r="H52" i="8"/>
  <c r="I51" i="8"/>
  <c r="H51" i="8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H42" i="8"/>
  <c r="I41" i="8"/>
  <c r="H41" i="8"/>
  <c r="I40" i="8"/>
  <c r="H40" i="8"/>
  <c r="I39" i="8"/>
  <c r="H39" i="8"/>
  <c r="I38" i="8"/>
  <c r="H38" i="8"/>
  <c r="I37" i="8"/>
  <c r="H37" i="8"/>
  <c r="H36" i="8"/>
  <c r="H35" i="8"/>
  <c r="I34" i="8"/>
  <c r="H34" i="8"/>
  <c r="I32" i="8"/>
  <c r="H32" i="8"/>
  <c r="I31" i="8"/>
  <c r="H31" i="8"/>
  <c r="I30" i="8"/>
  <c r="H30" i="8"/>
  <c r="I29" i="8"/>
  <c r="H29" i="8"/>
  <c r="I27" i="8"/>
  <c r="H27" i="8"/>
  <c r="I26" i="8"/>
  <c r="H26" i="8"/>
  <c r="H25" i="8"/>
  <c r="I24" i="8"/>
  <c r="H24" i="8"/>
  <c r="I23" i="8"/>
  <c r="H23" i="8"/>
  <c r="I21" i="8"/>
  <c r="H21" i="8"/>
  <c r="I20" i="8"/>
  <c r="H20" i="8"/>
  <c r="H19" i="8"/>
  <c r="I18" i="8"/>
  <c r="H18" i="8"/>
  <c r="I17" i="8"/>
  <c r="H17" i="8"/>
  <c r="H16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5" i="8"/>
  <c r="H5" i="8"/>
  <c r="I4" i="8"/>
  <c r="H4" i="8"/>
  <c r="I3" i="8"/>
  <c r="H3" i="8"/>
  <c r="H56" i="8" s="1"/>
  <c r="H13" i="7"/>
  <c r="H14" i="7"/>
  <c r="H15" i="7"/>
  <c r="H18" i="7"/>
  <c r="H32" i="7"/>
  <c r="H38" i="7"/>
  <c r="G68" i="7"/>
  <c r="G70" i="7" s="1"/>
  <c r="I70" i="7" s="1"/>
  <c r="G51" i="7"/>
  <c r="F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H44" i="7"/>
  <c r="I43" i="7"/>
  <c r="H43" i="7"/>
  <c r="I42" i="7"/>
  <c r="H42" i="7"/>
  <c r="I41" i="7"/>
  <c r="H41" i="7"/>
  <c r="I40" i="7"/>
  <c r="H40" i="7"/>
  <c r="I39" i="7"/>
  <c r="H39" i="7"/>
  <c r="I37" i="7"/>
  <c r="H37" i="7"/>
  <c r="I36" i="7"/>
  <c r="H36" i="7"/>
  <c r="I35" i="7"/>
  <c r="H35" i="7"/>
  <c r="I34" i="7"/>
  <c r="H34" i="7"/>
  <c r="I33" i="7"/>
  <c r="H33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H23" i="7"/>
  <c r="I22" i="7"/>
  <c r="H22" i="7"/>
  <c r="I21" i="7"/>
  <c r="H21" i="7"/>
  <c r="I20" i="7"/>
  <c r="H20" i="7"/>
  <c r="I19" i="7"/>
  <c r="H19" i="7"/>
  <c r="I17" i="7"/>
  <c r="H17" i="7"/>
  <c r="I16" i="7"/>
  <c r="H16" i="7"/>
  <c r="I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I3" i="7"/>
  <c r="H3" i="7"/>
  <c r="H51" i="7"/>
  <c r="G65" i="6"/>
  <c r="G67" i="6"/>
  <c r="I67" i="6"/>
  <c r="G48" i="6"/>
  <c r="F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H22" i="6"/>
  <c r="I21" i="6"/>
  <c r="H21" i="6"/>
  <c r="I20" i="6"/>
  <c r="H20" i="6"/>
  <c r="I19" i="6"/>
  <c r="H19" i="6"/>
  <c r="I18" i="6"/>
  <c r="H18" i="6"/>
  <c r="I16" i="6"/>
  <c r="H16" i="6"/>
  <c r="I15" i="6"/>
  <c r="H15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H48" i="6" s="1"/>
  <c r="F46" i="4"/>
  <c r="G46" i="4"/>
  <c r="H20" i="4"/>
  <c r="H28" i="4"/>
  <c r="G63" i="4"/>
  <c r="G65" i="4"/>
  <c r="I65" i="4" s="1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H46" i="4" s="1"/>
  <c r="H4" i="3"/>
  <c r="H5" i="3"/>
  <c r="H45" i="3" s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3" i="3"/>
  <c r="F42" i="2"/>
  <c r="G4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3" i="2"/>
  <c r="H42" i="2" s="1"/>
  <c r="G62" i="3"/>
  <c r="G64" i="3" s="1"/>
  <c r="I64" i="3" s="1"/>
  <c r="I56" i="3"/>
  <c r="G52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H4" i="1"/>
  <c r="H5" i="1"/>
  <c r="H6" i="1"/>
  <c r="H7" i="1"/>
  <c r="H36" i="1" s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  <c r="G59" i="2"/>
  <c r="G61" i="2"/>
  <c r="I61" i="2"/>
  <c r="I53" i="2"/>
  <c r="G49" i="2" s="1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G53" i="1"/>
  <c r="G55" i="1"/>
  <c r="I55" i="1"/>
  <c r="I47" i="1"/>
  <c r="G43" i="1" s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<sst xmlns="http://schemas.openxmlformats.org/spreadsheetml/2006/main" count="2031" uniqueCount="120">
  <si>
    <t>pf code no</t>
  </si>
  <si>
    <t>UAN NO</t>
  </si>
  <si>
    <t>NAME</t>
  </si>
  <si>
    <t>Name of employee</t>
  </si>
  <si>
    <t>No. of day work</t>
  </si>
  <si>
    <t>Basic pay</t>
  </si>
  <si>
    <t>Earn pay</t>
  </si>
  <si>
    <t>E.P.F.</t>
  </si>
  <si>
    <t xml:space="preserve"> </t>
  </si>
  <si>
    <t>Udayveer Singh Dohare</t>
  </si>
  <si>
    <t>Pradeep Kumar Sharma</t>
  </si>
  <si>
    <t>Rameshwar Namdev</t>
  </si>
  <si>
    <t>Shri Rameshwar Namdev</t>
  </si>
  <si>
    <t>MANAOJ DONERIYA</t>
  </si>
  <si>
    <t>MANOJ DONERIYA</t>
  </si>
  <si>
    <t xml:space="preserve">Neelmani Sarkar </t>
  </si>
  <si>
    <t>Neelmani s/o Late. Surendra Sarkar</t>
  </si>
  <si>
    <t>SITARAM DEVDA</t>
  </si>
  <si>
    <t xml:space="preserve">Santosh rathor </t>
  </si>
  <si>
    <t>Vijyesh rathore</t>
  </si>
  <si>
    <t>Mr.Vijayesh rathore</t>
  </si>
  <si>
    <t>Aapsingh Chouhan</t>
  </si>
  <si>
    <t>SURESH CHANDRA LOHAR</t>
  </si>
  <si>
    <t>Suresh Chandra Lohar</t>
  </si>
  <si>
    <t>Dinesh Pawar</t>
  </si>
  <si>
    <t>Shri Dinesh Pawar</t>
  </si>
  <si>
    <t>SUSHILA URKUDE</t>
  </si>
  <si>
    <t>SMT SUSHILA URKUDE</t>
  </si>
  <si>
    <t>ANIL SARWAN</t>
  </si>
  <si>
    <t xml:space="preserve">INDER SINGH NIKUM </t>
  </si>
  <si>
    <t xml:space="preserve">SHRI INDER SINGH NIKUM </t>
  </si>
  <si>
    <t>SANJAY SEN</t>
  </si>
  <si>
    <t xml:space="preserve">SHRI SANJAY SEN </t>
  </si>
  <si>
    <t>Ashok Sooryavanshi</t>
  </si>
  <si>
    <t>TARA BRAHMNE</t>
  </si>
  <si>
    <t>Mrs. Tara Brahmne</t>
  </si>
  <si>
    <t>NEELESH GUPTA</t>
  </si>
  <si>
    <t xml:space="preserve">DHARMENDRA KUMAR SHARMA </t>
  </si>
  <si>
    <t xml:space="preserve">Mr. Dharmendra Kumar Sharma </t>
  </si>
  <si>
    <t>BHILA DAMOR</t>
  </si>
  <si>
    <t>Bhila Damor</t>
  </si>
  <si>
    <t>RAVI KHARADI</t>
  </si>
  <si>
    <t>Ravi Kharadi</t>
  </si>
  <si>
    <t>SURENDRA SINGH PANWAR</t>
  </si>
  <si>
    <t>Surendra Singh Panwar</t>
  </si>
  <si>
    <t xml:space="preserve">Manoj Rathod </t>
  </si>
  <si>
    <t>Rajesh Chandra Avadhiya</t>
  </si>
  <si>
    <t>Shri Rajesh Chandra Avadhiya</t>
  </si>
  <si>
    <t>RAMJI TIWARI</t>
  </si>
  <si>
    <t>shrichand Kahar</t>
  </si>
  <si>
    <t>Shrichand Kahar</t>
  </si>
  <si>
    <t>SUGREEM SINGH MURALI</t>
  </si>
  <si>
    <t>SHRI SUGREEM SINGH MURALI</t>
  </si>
  <si>
    <t>Rakesh Kumar Mahobiya</t>
  </si>
  <si>
    <t xml:space="preserve">SHRI RAKESH KUMAR MAHOBIYA </t>
  </si>
  <si>
    <t>Khemendra Mohare</t>
  </si>
  <si>
    <t xml:space="preserve">SHRI KHEMENDRA MOHARE </t>
  </si>
  <si>
    <t>Harish Kumar Belwanshi</t>
  </si>
  <si>
    <t xml:space="preserve">SHRI HARISH KUMAR BELWANSHI </t>
  </si>
  <si>
    <t>Dhiraj Yaduwanshi</t>
  </si>
  <si>
    <t xml:space="preserve">SHRI DHIRAJ YADUWANSHI </t>
  </si>
  <si>
    <t>VIJAY WASVE</t>
  </si>
  <si>
    <t>SHRI VIJAY WASVE</t>
  </si>
  <si>
    <t>ARVIND SHAH</t>
  </si>
  <si>
    <t>SHRI ARVIND SHAH</t>
  </si>
  <si>
    <t>PUSHPLATA KESKAR</t>
  </si>
  <si>
    <t>SHASHI BHUSAN SINGH</t>
  </si>
  <si>
    <t>SHRI SHASHI BHUSAN SINGH</t>
  </si>
  <si>
    <t>RAKESH CHORNELE</t>
  </si>
  <si>
    <t>SHRI RAKESH CHORNELE</t>
  </si>
  <si>
    <t>HEMLATA CHOURSIYA</t>
  </si>
  <si>
    <t>SMT. HEMLATA CHOURSIYA</t>
  </si>
  <si>
    <t>VIDHYA SEN</t>
  </si>
  <si>
    <t>Smt. Vidya Sen</t>
  </si>
  <si>
    <t>Dipesh Raj</t>
  </si>
  <si>
    <t>MAHENDRA KUMAR SAXENA</t>
  </si>
  <si>
    <t>Mahendra Kumar Saxena</t>
  </si>
  <si>
    <t>SANGEETA KUSHWAHA</t>
  </si>
  <si>
    <t>Sangeeta Kushwaha</t>
  </si>
  <si>
    <t>LEELA DHAR LARIYA</t>
  </si>
  <si>
    <t>Leeladhar Lariya</t>
  </si>
  <si>
    <t>DEVENDRA KUMAR SUMAN</t>
  </si>
  <si>
    <t>HARIRAM AHIRWAR</t>
  </si>
  <si>
    <t>Shri Hariram Ahirwar</t>
  </si>
  <si>
    <t>SANJAY KUMAR RAIKWAR</t>
  </si>
  <si>
    <t>Jitendra jatav</t>
  </si>
  <si>
    <t>Mr. Jitendra jatav</t>
  </si>
  <si>
    <t>Smt Anuradha Garg</t>
  </si>
  <si>
    <t>Anuradha Garg</t>
  </si>
  <si>
    <t>Shri  Bala Gujre</t>
  </si>
  <si>
    <t>Bala Gujre</t>
  </si>
  <si>
    <t>Shri Nipendra Sahu</t>
  </si>
  <si>
    <t>Nipendra Sahu</t>
  </si>
  <si>
    <t>Ms Shewta Sisodiya</t>
  </si>
  <si>
    <t>Shewta Sisodiya</t>
  </si>
  <si>
    <t>Smt Beenu Sharma</t>
  </si>
  <si>
    <t>Beenu Sharma</t>
  </si>
  <si>
    <t>Ramlal Mishra</t>
  </si>
  <si>
    <t>Rajesh Panday</t>
  </si>
  <si>
    <t>Sandeep Chouhan</t>
  </si>
  <si>
    <t>Deelip Bharti</t>
  </si>
  <si>
    <t>Ramraj Tiwari</t>
  </si>
  <si>
    <t>Updesh Kumar Batham</t>
  </si>
  <si>
    <t>Shri Updesh Kumar Batham</t>
  </si>
  <si>
    <t>JHARNA VERMA</t>
  </si>
  <si>
    <t xml:space="preserve">Jharna Saraf </t>
  </si>
  <si>
    <t>Rohit Mehra</t>
  </si>
  <si>
    <t>chambal</t>
  </si>
  <si>
    <t>gwalior</t>
  </si>
  <si>
    <t>jabalpur</t>
  </si>
  <si>
    <t>indore</t>
  </si>
  <si>
    <t>bhopal</t>
  </si>
  <si>
    <t>sagar</t>
  </si>
  <si>
    <t>rewa</t>
  </si>
  <si>
    <t>ujjain</t>
  </si>
  <si>
    <t>narmdapuram</t>
  </si>
  <si>
    <t>Bhavy joyti sharma</t>
  </si>
  <si>
    <t>Smt. Bhavya Jyoti Sharma</t>
  </si>
  <si>
    <t>Sunil Yadav</t>
  </si>
  <si>
    <t>Shri Sunil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</si>
</sst>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80" formatCode="_(* #,##0_);_(* \(#,##0\);_(* &quot;-&quot;??_);_(@_)"/>
  </numFmts>
  <fonts count="37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sz val="11"/>
      <color indexed="8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0"/>
      <color indexed="8"/>
      <name val="Arial"/>
      <family val="2"/>
    </font>
    <font>
      <sz val="13"/>
      <color indexed="8"/>
      <name val="Calibri"/>
      <family val="2"/>
    </font>
    <font>
      <sz val="12"/>
      <name val="Arial"/>
      <family val="2"/>
    </font>
    <font>
      <sz val="14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14"/>
      <color indexed="8"/>
      <name val="Arial"/>
      <family val="2"/>
    </font>
    <font>
      <sz val="10"/>
      <color indexed="8"/>
      <name val="Times New Roman"/>
      <family val="1"/>
    </font>
    <font>
      <sz val="13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1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1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</cellStyleXfs>
  <cellXfs count="122">
    <xf numFmtId="0" fontId="0" fillId="0" borderId="0" xfId="0"/>
    <xf numFmtId="17" fontId="23" fillId="0" borderId="1" xfId="7" applyNumberFormat="1" applyFont="1" applyFill="1" applyBorder="1" applyAlignment="1">
      <alignment horizontal="center"/>
    </xf>
    <xf numFmtId="0" fontId="24" fillId="0" borderId="1" xfId="7" applyFont="1" applyFill="1" applyBorder="1" applyAlignment="1">
      <alignment horizontal="center"/>
    </xf>
    <xf numFmtId="2" fontId="23" fillId="0" borderId="1" xfId="7" applyNumberFormat="1" applyFont="1" applyFill="1" applyBorder="1" applyAlignment="1">
      <alignment horizontal="center"/>
    </xf>
    <xf numFmtId="2" fontId="25" fillId="0" borderId="1" xfId="7" applyNumberFormat="1" applyFont="1" applyFill="1" applyBorder="1" applyAlignment="1">
      <alignment horizontal="center"/>
    </xf>
    <xf numFmtId="0" fontId="25" fillId="0" borderId="1" xfId="7" applyFont="1" applyFill="1" applyBorder="1" applyAlignment="1">
      <alignment horizontal="center" vertical="center"/>
    </xf>
    <xf numFmtId="0" fontId="25" fillId="0" borderId="2" xfId="7" applyFont="1" applyFill="1" applyBorder="1" applyAlignment="1">
      <alignment horizontal="center" vertical="center"/>
    </xf>
    <xf numFmtId="0" fontId="26" fillId="0" borderId="1" xfId="7" applyFont="1" applyFill="1" applyBorder="1" applyAlignment="1">
      <alignment horizontal="center" vertical="center"/>
    </xf>
    <xf numFmtId="0" fontId="24" fillId="0" borderId="0" xfId="7" applyFont="1" applyFill="1" applyBorder="1" applyAlignment="1"/>
    <xf numFmtId="0" fontId="21" fillId="0" borderId="0" xfId="7" applyFont="1" applyFill="1"/>
    <xf numFmtId="180" fontId="27" fillId="0" borderId="1" xfId="1" applyNumberFormat="1" applyFont="1" applyFill="1" applyBorder="1" applyAlignment="1">
      <alignment horizontal="center" vertical="justify" wrapText="1"/>
    </xf>
    <xf numFmtId="0" fontId="28" fillId="0" borderId="0" xfId="7" applyFont="1" applyFill="1" applyBorder="1" applyAlignment="1">
      <alignment horizontal="center" vertical="justify" wrapText="1"/>
    </xf>
    <xf numFmtId="0" fontId="3" fillId="0" borderId="1" xfId="0" applyFont="1" applyBorder="1" applyAlignment="1">
      <alignment horizontal="center" vertical="justify" wrapText="1"/>
    </xf>
    <xf numFmtId="0" fontId="4" fillId="0" borderId="1" xfId="0" applyFont="1" applyBorder="1" applyAlignment="1">
      <alignment horizontal="center" vertical="justify" wrapText="1"/>
    </xf>
    <xf numFmtId="0" fontId="5" fillId="0" borderId="1" xfId="0" applyFont="1" applyBorder="1" applyAlignment="1">
      <alignment horizontal="center" vertical="justify" wrapText="1"/>
    </xf>
    <xf numFmtId="0" fontId="24" fillId="0" borderId="0" xfId="7" applyFont="1" applyFill="1" applyBorder="1" applyAlignment="1">
      <alignment horizontal="center" vertical="justify" wrapText="1"/>
    </xf>
    <xf numFmtId="1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vertical="center" wrapText="1"/>
    </xf>
    <xf numFmtId="0" fontId="21" fillId="2" borderId="0" xfId="7" applyFont="1" applyFill="1"/>
    <xf numFmtId="0" fontId="0" fillId="0" borderId="1" xfId="0" applyFill="1" applyBorder="1" applyAlignment="1">
      <alignment horizontal="center"/>
    </xf>
    <xf numFmtId="0" fontId="24" fillId="2" borderId="0" xfId="7" applyFont="1" applyFill="1" applyBorder="1" applyAlignment="1"/>
    <xf numFmtId="0" fontId="21" fillId="0" borderId="0" xfId="7" applyFont="1" applyFill="1" applyBorder="1"/>
    <xf numFmtId="2" fontId="21" fillId="0" borderId="0" xfId="7" applyNumberFormat="1" applyFont="1" applyFill="1" applyBorder="1"/>
    <xf numFmtId="180" fontId="21" fillId="0" borderId="0" xfId="1" applyNumberFormat="1" applyFont="1" applyFill="1" applyBorder="1" applyAlignment="1">
      <alignment horizontal="center"/>
    </xf>
    <xf numFmtId="0" fontId="21" fillId="0" borderId="0" xfId="7" applyFont="1" applyFill="1" applyBorder="1" applyAlignment="1">
      <alignment horizontal="center"/>
    </xf>
    <xf numFmtId="0" fontId="12" fillId="0" borderId="0" xfId="12" applyNumberFormat="1" applyFont="1" applyBorder="1" applyAlignment="1">
      <alignment horizontal="center" vertical="center" wrapText="1"/>
    </xf>
    <xf numFmtId="0" fontId="29" fillId="0" borderId="0" xfId="3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 wrapText="1"/>
    </xf>
    <xf numFmtId="180" fontId="21" fillId="0" borderId="0" xfId="1" applyNumberFormat="1" applyFont="1" applyFill="1" applyAlignment="1">
      <alignment horizontal="center"/>
    </xf>
    <xf numFmtId="0" fontId="21" fillId="0" borderId="0" xfId="7" applyFont="1" applyFill="1" applyAlignment="1">
      <alignment horizontal="center"/>
    </xf>
    <xf numFmtId="2" fontId="21" fillId="0" borderId="0" xfId="7" applyNumberFormat="1" applyFont="1" applyFill="1" applyBorder="1" applyAlignment="1">
      <alignment horizontal="center"/>
    </xf>
    <xf numFmtId="0" fontId="31" fillId="0" borderId="0" xfId="7" applyFont="1" applyFill="1" applyBorder="1" applyAlignment="1">
      <alignment horizontal="center"/>
    </xf>
    <xf numFmtId="0" fontId="31" fillId="0" borderId="0" xfId="7" applyFont="1" applyFill="1" applyBorder="1" applyAlignment="1">
      <alignment horizontal="center" vertical="center"/>
    </xf>
    <xf numFmtId="0" fontId="32" fillId="0" borderId="0" xfId="7" applyFont="1" applyFill="1" applyBorder="1" applyAlignment="1">
      <alignment horizontal="center" vertical="center"/>
    </xf>
    <xf numFmtId="0" fontId="32" fillId="2" borderId="0" xfId="7" applyFont="1" applyFill="1" applyBorder="1" applyAlignment="1">
      <alignment horizontal="center" vertical="center"/>
    </xf>
    <xf numFmtId="0" fontId="21" fillId="2" borderId="0" xfId="7" applyFont="1" applyFill="1" applyBorder="1"/>
    <xf numFmtId="0" fontId="21" fillId="3" borderId="0" xfId="7" applyFont="1" applyFill="1" applyBorder="1"/>
    <xf numFmtId="2" fontId="31" fillId="0" borderId="0" xfId="7" applyNumberFormat="1" applyFont="1" applyFill="1" applyBorder="1" applyAlignment="1">
      <alignment horizontal="center" vertical="center"/>
    </xf>
    <xf numFmtId="0" fontId="31" fillId="2" borderId="0" xfId="7" applyFont="1" applyFill="1" applyBorder="1" applyAlignment="1">
      <alignment horizontal="center" vertical="center"/>
    </xf>
    <xf numFmtId="2" fontId="31" fillId="2" borderId="0" xfId="7" applyNumberFormat="1" applyFont="1" applyFill="1" applyBorder="1" applyAlignment="1">
      <alignment horizontal="center" vertical="center"/>
    </xf>
    <xf numFmtId="0" fontId="23" fillId="2" borderId="0" xfId="7" applyFont="1" applyFill="1"/>
    <xf numFmtId="0" fontId="22" fillId="0" borderId="1" xfId="7" applyFont="1" applyFill="1" applyBorder="1" applyAlignment="1">
      <alignment horizontal="center"/>
    </xf>
    <xf numFmtId="180" fontId="24" fillId="0" borderId="1" xfId="1" applyNumberFormat="1" applyFont="1" applyFill="1" applyBorder="1" applyAlignment="1">
      <alignment horizontal="center"/>
    </xf>
    <xf numFmtId="180" fontId="24" fillId="3" borderId="1" xfId="1" applyNumberFormat="1" applyFont="1" applyFill="1" applyBorder="1" applyAlignment="1">
      <alignment horizontal="center"/>
    </xf>
    <xf numFmtId="0" fontId="21" fillId="3" borderId="0" xfId="7" applyFont="1" applyFill="1"/>
    <xf numFmtId="0" fontId="14" fillId="0" borderId="1" xfId="5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 vertical="center" wrapText="1"/>
    </xf>
    <xf numFmtId="0" fontId="2" fillId="3" borderId="1" xfId="5" applyFont="1" applyFill="1" applyBorder="1" applyAlignment="1">
      <alignment horizontal="center" vertical="center" wrapText="1"/>
    </xf>
    <xf numFmtId="0" fontId="21" fillId="0" borderId="1" xfId="2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33" fillId="3" borderId="1" xfId="0" applyFont="1" applyFill="1" applyBorder="1" applyAlignment="1">
      <alignment vertical="center"/>
    </xf>
    <xf numFmtId="0" fontId="12" fillId="3" borderId="1" xfId="5" applyFont="1" applyFill="1" applyBorder="1" applyAlignment="1">
      <alignment vertical="center" wrapText="1"/>
    </xf>
    <xf numFmtId="0" fontId="21" fillId="0" borderId="1" xfId="7" applyFont="1" applyFill="1" applyBorder="1"/>
    <xf numFmtId="1" fontId="22" fillId="3" borderId="1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right" vertical="center"/>
    </xf>
    <xf numFmtId="2" fontId="7" fillId="3" borderId="1" xfId="0" applyNumberFormat="1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2" fillId="3" borderId="1" xfId="11" applyFont="1" applyFill="1" applyBorder="1" applyAlignment="1">
      <alignment horizontal="center" vertical="center" wrapText="1"/>
    </xf>
    <xf numFmtId="0" fontId="2" fillId="3" borderId="1" xfId="4" applyFont="1" applyFill="1" applyBorder="1" applyAlignment="1">
      <alignment horizontal="left" vertical="center" wrapText="1"/>
    </xf>
    <xf numFmtId="0" fontId="2" fillId="3" borderId="1" xfId="5" applyFill="1" applyBorder="1" applyAlignment="1">
      <alignment horizontal="center" vertical="center" wrapText="1"/>
    </xf>
    <xf numFmtId="0" fontId="21" fillId="3" borderId="1" xfId="7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 shrinkToFit="1"/>
    </xf>
    <xf numFmtId="0" fontId="34" fillId="3" borderId="1" xfId="5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2" fontId="7" fillId="3" borderId="1" xfId="1" applyNumberFormat="1" applyFont="1" applyFill="1" applyBorder="1" applyAlignment="1">
      <alignment horizontal="right" vertical="center" wrapText="1"/>
    </xf>
    <xf numFmtId="0" fontId="29" fillId="3" borderId="1" xfId="5" applyFont="1" applyFill="1" applyBorder="1" applyAlignment="1">
      <alignment horizontal="center" vertical="center" wrapText="1"/>
    </xf>
    <xf numFmtId="0" fontId="21" fillId="3" borderId="1" xfId="2" applyFont="1" applyFill="1" applyBorder="1" applyAlignment="1">
      <alignment horizontal="center" vertical="center" wrapText="1"/>
    </xf>
    <xf numFmtId="0" fontId="29" fillId="3" borderId="1" xfId="3" applyFont="1" applyFill="1" applyBorder="1" applyAlignment="1">
      <alignment horizontal="center" vertical="center" wrapText="1"/>
    </xf>
    <xf numFmtId="0" fontId="29" fillId="3" borderId="1" xfId="3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 wrapText="1"/>
    </xf>
    <xf numFmtId="0" fontId="12" fillId="3" borderId="3" xfId="3" applyFont="1" applyFill="1" applyBorder="1" applyAlignment="1">
      <alignment horizontal="center" vertical="center" wrapText="1"/>
    </xf>
    <xf numFmtId="0" fontId="14" fillId="3" borderId="1" xfId="5" applyFont="1" applyFill="1" applyBorder="1" applyAlignment="1">
      <alignment horizontal="center" vertical="center" wrapText="1"/>
    </xf>
    <xf numFmtId="2" fontId="14" fillId="3" borderId="1" xfId="5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4" fillId="3" borderId="1" xfId="5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top" wrapText="1"/>
    </xf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wrapText="1"/>
    </xf>
    <xf numFmtId="0" fontId="36" fillId="3" borderId="1" xfId="0" applyFont="1" applyFill="1" applyBorder="1" applyAlignment="1">
      <alignment horizontal="left" wrapText="1"/>
    </xf>
    <xf numFmtId="0" fontId="19" fillId="3" borderId="1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left"/>
    </xf>
    <xf numFmtId="0" fontId="36" fillId="3" borderId="1" xfId="0" applyFont="1" applyFill="1" applyBorder="1" applyAlignment="1">
      <alignment horizontal="left" vertical="center" wrapText="1"/>
    </xf>
    <xf numFmtId="0" fontId="19" fillId="3" borderId="1" xfId="13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/>
    </xf>
    <xf numFmtId="0" fontId="15" fillId="3" borderId="1" xfId="5" applyFont="1" applyFill="1" applyBorder="1" applyAlignment="1">
      <alignment horizontal="center" vertical="center"/>
    </xf>
    <xf numFmtId="0" fontId="13" fillId="3" borderId="1" xfId="5" applyFont="1" applyFill="1" applyBorder="1" applyAlignment="1">
      <alignment wrapText="1"/>
    </xf>
    <xf numFmtId="0" fontId="33" fillId="3" borderId="1" xfId="0" applyFont="1" applyFill="1" applyBorder="1" applyAlignment="1">
      <alignment horizontal="center" vertical="center"/>
    </xf>
    <xf numFmtId="0" fontId="13" fillId="3" borderId="1" xfId="5" applyFont="1" applyFill="1" applyBorder="1" applyAlignment="1">
      <alignment horizontal="center" wrapText="1"/>
    </xf>
    <xf numFmtId="2" fontId="12" fillId="3" borderId="1" xfId="0" applyNumberFormat="1" applyFont="1" applyFill="1" applyBorder="1" applyAlignment="1">
      <alignment horizontal="center" vertical="center"/>
    </xf>
    <xf numFmtId="0" fontId="20" fillId="3" borderId="1" xfId="12" applyFont="1" applyFill="1" applyBorder="1" applyAlignment="1">
      <alignment horizontal="center" vertical="center" wrapText="1"/>
    </xf>
    <xf numFmtId="0" fontId="10" fillId="3" borderId="1" xfId="5" applyFont="1" applyFill="1" applyBorder="1" applyAlignment="1">
      <alignment horizontal="center"/>
    </xf>
    <xf numFmtId="0" fontId="6" fillId="3" borderId="1" xfId="12" applyFont="1" applyFill="1" applyBorder="1" applyAlignment="1">
      <alignment horizontal="left" vertical="center" wrapText="1"/>
    </xf>
    <xf numFmtId="0" fontId="18" fillId="3" borderId="1" xfId="12" applyFont="1" applyFill="1" applyBorder="1" applyAlignment="1">
      <alignment horizontal="center" vertical="center" wrapText="1"/>
    </xf>
    <xf numFmtId="2" fontId="18" fillId="3" borderId="1" xfId="12" applyNumberFormat="1" applyFont="1" applyFill="1" applyBorder="1" applyAlignment="1">
      <alignment horizontal="center" vertical="center" wrapText="1"/>
    </xf>
    <xf numFmtId="0" fontId="23" fillId="3" borderId="2" xfId="7" applyFont="1" applyFill="1" applyBorder="1" applyAlignment="1">
      <alignment horizontal="center"/>
    </xf>
    <xf numFmtId="1" fontId="15" fillId="3" borderId="1" xfId="0" applyNumberFormat="1" applyFont="1" applyFill="1" applyBorder="1" applyAlignment="1">
      <alignment horizontal="center" vertical="center"/>
    </xf>
    <xf numFmtId="0" fontId="25" fillId="3" borderId="1" xfId="7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180" fontId="21" fillId="3" borderId="0" xfId="1" applyNumberFormat="1" applyFont="1" applyFill="1" applyBorder="1" applyAlignment="1">
      <alignment horizontal="center"/>
    </xf>
    <xf numFmtId="0" fontId="21" fillId="3" borderId="0" xfId="7" applyFont="1" applyFill="1" applyBorder="1" applyAlignment="1">
      <alignment horizontal="center"/>
    </xf>
    <xf numFmtId="0" fontId="21" fillId="3" borderId="0" xfId="7" applyFont="1" applyFill="1" applyAlignment="1">
      <alignment horizontal="center"/>
    </xf>
    <xf numFmtId="0" fontId="21" fillId="3" borderId="1" xfId="7" applyFont="1" applyFill="1" applyBorder="1"/>
    <xf numFmtId="0" fontId="2" fillId="3" borderId="1" xfId="5" applyFont="1" applyFill="1" applyBorder="1" applyAlignment="1">
      <alignment horizontal="center"/>
    </xf>
    <xf numFmtId="2" fontId="13" fillId="3" borderId="1" xfId="0" applyNumberFormat="1" applyFont="1" applyFill="1" applyBorder="1" applyAlignment="1">
      <alignment horizontal="center" vertical="center"/>
    </xf>
    <xf numFmtId="0" fontId="23" fillId="3" borderId="1" xfId="7" applyFont="1" applyFill="1" applyBorder="1" applyAlignment="1">
      <alignment horizontal="center"/>
    </xf>
    <xf numFmtId="0" fontId="20" fillId="3" borderId="1" xfId="12" applyFont="1" applyFill="1" applyBorder="1" applyAlignment="1">
      <alignment horizontal="left" vertical="center" wrapText="1"/>
    </xf>
    <xf numFmtId="2" fontId="21" fillId="0" borderId="0" xfId="7" applyNumberFormat="1" applyFont="1" applyFill="1"/>
  </cellXfs>
  <cellStyles count="14">
    <cellStyle name="Comma" xfId="1" builtinId="3"/>
    <cellStyle name="Normal" xfId="0" builtinId="0"/>
    <cellStyle name="Normal 12" xfId="2"/>
    <cellStyle name="Normal 2 2" xfId="3"/>
    <cellStyle name="Normal 2 2 2" xfId="4"/>
    <cellStyle name="Normal 2 3" xfId="5"/>
    <cellStyle name="Normal 3" xfId="6"/>
    <cellStyle name="Normal 4" xfId="7"/>
    <cellStyle name="Normal 5" xfId="8"/>
    <cellStyle name="Normal 6" xfId="9"/>
    <cellStyle name="Normal 7" xfId="10"/>
    <cellStyle name="Normal_Copy of Shajapur" xfId="11"/>
    <cellStyle name="Normal_final EPF Information Zonal Sagar 08.11.12" xfId="12"/>
    <cellStyle name="Normal_Sheet1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"/>
  <sheetViews>
    <sheetView topLeftCell="A15" workbookViewId="0">
      <selection activeCell="D35" sqref="D35"/>
    </sheetView>
  </sheetViews>
  <sheetFormatPr defaultRowHeight="18.75" x14ac:dyDescent="0.25"/>
  <cols>
    <col min="1" max="1" width="9.140625" style="30"/>
    <col min="2" max="2" width="19.8554687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5703125" style="35" bestFit="1" customWidth="1"/>
    <col min="9" max="9" width="9.140625" style="22"/>
    <col min="10" max="16384" width="9.140625" style="9"/>
  </cols>
  <sheetData>
    <row r="1" spans="1:9" x14ac:dyDescent="0.25">
      <c r="A1" s="1">
        <v>39539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>G3*12/100</f>
        <v>660</v>
      </c>
      <c r="I3" s="21">
        <f t="shared" ref="I3:I12" si="0">G3*12/100</f>
        <v>660</v>
      </c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5317</v>
      </c>
      <c r="G4" s="61">
        <v>5317</v>
      </c>
      <c r="H4" s="61">
        <f t="shared" ref="H4:H35" si="1">G4*12/100</f>
        <v>638.04</v>
      </c>
      <c r="I4" s="21">
        <f t="shared" si="0"/>
        <v>638.04</v>
      </c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2651</v>
      </c>
      <c r="G5" s="62">
        <v>2651</v>
      </c>
      <c r="H5" s="61">
        <f t="shared" si="1"/>
        <v>318.12</v>
      </c>
      <c r="I5" s="21">
        <f t="shared" si="0"/>
        <v>318.12</v>
      </c>
    </row>
    <row r="6" spans="1:9" s="19" customFormat="1" ht="25.5" x14ac:dyDescent="0.25">
      <c r="A6" s="45">
        <v>50</v>
      </c>
      <c r="B6" s="57">
        <v>100253724762</v>
      </c>
      <c r="C6" s="58" t="s">
        <v>15</v>
      </c>
      <c r="D6" s="64" t="s">
        <v>16</v>
      </c>
      <c r="E6" s="65">
        <v>30</v>
      </c>
      <c r="F6" s="64">
        <v>5500</v>
      </c>
      <c r="G6" s="64">
        <v>5500</v>
      </c>
      <c r="H6" s="61">
        <f t="shared" si="1"/>
        <v>660</v>
      </c>
      <c r="I6" s="21">
        <f t="shared" si="0"/>
        <v>660</v>
      </c>
    </row>
    <row r="7" spans="1:9" s="19" customFormat="1" ht="15.75" x14ac:dyDescent="0.25">
      <c r="A7" s="45">
        <v>82</v>
      </c>
      <c r="B7" s="57">
        <v>100337411384</v>
      </c>
      <c r="C7" s="58" t="s">
        <v>18</v>
      </c>
      <c r="D7" s="67" t="s">
        <v>18</v>
      </c>
      <c r="E7" s="65">
        <v>29</v>
      </c>
      <c r="F7" s="64">
        <v>2651</v>
      </c>
      <c r="G7" s="64">
        <v>2651</v>
      </c>
      <c r="H7" s="61">
        <f t="shared" si="1"/>
        <v>318.12</v>
      </c>
      <c r="I7" s="21">
        <f t="shared" si="0"/>
        <v>318.12</v>
      </c>
    </row>
    <row r="8" spans="1:9" s="19" customFormat="1" ht="15.75" x14ac:dyDescent="0.25">
      <c r="A8" s="45">
        <v>96</v>
      </c>
      <c r="B8" s="57">
        <v>100071591724</v>
      </c>
      <c r="C8" s="58" t="s">
        <v>21</v>
      </c>
      <c r="D8" s="65" t="s">
        <v>21</v>
      </c>
      <c r="E8" s="65">
        <v>30</v>
      </c>
      <c r="F8" s="64">
        <v>5500</v>
      </c>
      <c r="G8" s="64">
        <v>5500</v>
      </c>
      <c r="H8" s="61">
        <f t="shared" si="1"/>
        <v>660</v>
      </c>
      <c r="I8" s="21">
        <f t="shared" si="0"/>
        <v>660</v>
      </c>
    </row>
    <row r="9" spans="1:9" s="19" customFormat="1" ht="15.75" x14ac:dyDescent="0.25">
      <c r="A9" s="45">
        <v>112</v>
      </c>
      <c r="B9" s="57">
        <v>100353622159</v>
      </c>
      <c r="C9" s="58" t="s">
        <v>24</v>
      </c>
      <c r="D9" s="65" t="s">
        <v>25</v>
      </c>
      <c r="E9" s="48">
        <v>30</v>
      </c>
      <c r="F9" s="48">
        <v>5500</v>
      </c>
      <c r="G9" s="48">
        <v>5500</v>
      </c>
      <c r="H9" s="61">
        <f t="shared" si="1"/>
        <v>660</v>
      </c>
      <c r="I9" s="21">
        <f t="shared" si="0"/>
        <v>660</v>
      </c>
    </row>
    <row r="10" spans="1:9" s="19" customFormat="1" ht="15.75" x14ac:dyDescent="0.25">
      <c r="A10" s="45">
        <v>126</v>
      </c>
      <c r="B10" s="57">
        <v>100358535750</v>
      </c>
      <c r="C10" s="58" t="s">
        <v>26</v>
      </c>
      <c r="D10" s="51" t="s">
        <v>27</v>
      </c>
      <c r="E10" s="69">
        <v>30</v>
      </c>
      <c r="F10" s="69">
        <v>5500</v>
      </c>
      <c r="G10" s="69">
        <v>5500</v>
      </c>
      <c r="H10" s="61">
        <f t="shared" si="1"/>
        <v>660</v>
      </c>
      <c r="I10" s="21">
        <f t="shared" si="0"/>
        <v>660</v>
      </c>
    </row>
    <row r="11" spans="1:9" s="19" customFormat="1" ht="15.75" x14ac:dyDescent="0.25">
      <c r="A11" s="45">
        <v>134</v>
      </c>
      <c r="B11" s="57">
        <v>100084707366</v>
      </c>
      <c r="C11" s="58" t="s">
        <v>28</v>
      </c>
      <c r="D11" s="71" t="s">
        <v>28</v>
      </c>
      <c r="E11" s="48">
        <v>30</v>
      </c>
      <c r="F11" s="71">
        <v>1000</v>
      </c>
      <c r="G11" s="71">
        <v>1000</v>
      </c>
      <c r="H11" s="61">
        <f t="shared" si="1"/>
        <v>120</v>
      </c>
      <c r="I11" s="21">
        <f t="shared" si="0"/>
        <v>120</v>
      </c>
    </row>
    <row r="12" spans="1:9" s="19" customFormat="1" ht="15.75" x14ac:dyDescent="0.25">
      <c r="A12" s="45">
        <v>136</v>
      </c>
      <c r="B12" s="57">
        <v>100167059875</v>
      </c>
      <c r="C12" s="58" t="s">
        <v>29</v>
      </c>
      <c r="D12" s="65" t="s">
        <v>30</v>
      </c>
      <c r="E12" s="48">
        <v>30</v>
      </c>
      <c r="F12" s="49">
        <v>5500</v>
      </c>
      <c r="G12" s="49">
        <v>5500</v>
      </c>
      <c r="H12" s="61">
        <f t="shared" si="1"/>
        <v>660</v>
      </c>
      <c r="I12" s="21">
        <f t="shared" si="0"/>
        <v>660</v>
      </c>
    </row>
    <row r="13" spans="1:9" s="19" customFormat="1" ht="15.75" x14ac:dyDescent="0.25">
      <c r="A13" s="45">
        <v>195</v>
      </c>
      <c r="B13" s="57">
        <v>100235466823</v>
      </c>
      <c r="C13" s="58" t="s">
        <v>34</v>
      </c>
      <c r="D13" s="75" t="s">
        <v>35</v>
      </c>
      <c r="E13" s="117">
        <v>30</v>
      </c>
      <c r="F13" s="117">
        <v>5500</v>
      </c>
      <c r="G13" s="117">
        <v>5500</v>
      </c>
      <c r="H13" s="61">
        <f t="shared" si="1"/>
        <v>660</v>
      </c>
      <c r="I13" s="21"/>
    </row>
    <row r="14" spans="1:9" s="19" customFormat="1" ht="30" x14ac:dyDescent="0.25">
      <c r="A14" s="45">
        <v>204</v>
      </c>
      <c r="B14" s="57">
        <v>100232169483</v>
      </c>
      <c r="C14" s="58" t="s">
        <v>37</v>
      </c>
      <c r="D14" s="75" t="s">
        <v>38</v>
      </c>
      <c r="E14" s="50">
        <v>30</v>
      </c>
      <c r="F14" s="50">
        <v>5500</v>
      </c>
      <c r="G14" s="50">
        <v>5500</v>
      </c>
      <c r="H14" s="61">
        <f t="shared" si="1"/>
        <v>660</v>
      </c>
      <c r="I14" s="21">
        <f t="shared" ref="I14:I23" si="2">G14*12/100</f>
        <v>660</v>
      </c>
    </row>
    <row r="15" spans="1:9" s="19" customFormat="1" ht="15.75" x14ac:dyDescent="0.25">
      <c r="A15" s="45">
        <v>252</v>
      </c>
      <c r="B15" s="57">
        <v>100373345016</v>
      </c>
      <c r="C15" s="58" t="s">
        <v>43</v>
      </c>
      <c r="D15" s="79" t="s">
        <v>44</v>
      </c>
      <c r="E15" s="77">
        <v>30</v>
      </c>
      <c r="F15" s="80">
        <v>5500</v>
      </c>
      <c r="G15" s="80">
        <v>5500</v>
      </c>
      <c r="H15" s="61">
        <f t="shared" si="1"/>
        <v>660</v>
      </c>
      <c r="I15" s="21">
        <f t="shared" si="2"/>
        <v>660</v>
      </c>
    </row>
    <row r="16" spans="1:9" s="19" customFormat="1" ht="15.75" x14ac:dyDescent="0.25">
      <c r="A16" s="45">
        <v>269</v>
      </c>
      <c r="B16" s="57">
        <v>100353847332</v>
      </c>
      <c r="C16" s="58" t="s">
        <v>46</v>
      </c>
      <c r="D16" s="83" t="s">
        <v>47</v>
      </c>
      <c r="E16" s="83">
        <v>30</v>
      </c>
      <c r="F16" s="84">
        <v>5500</v>
      </c>
      <c r="G16" s="84">
        <v>5500</v>
      </c>
      <c r="H16" s="61">
        <f t="shared" si="1"/>
        <v>660</v>
      </c>
      <c r="I16" s="21">
        <f t="shared" si="2"/>
        <v>660</v>
      </c>
    </row>
    <row r="17" spans="1:9" s="19" customFormat="1" ht="15.75" x14ac:dyDescent="0.25">
      <c r="A17" s="45">
        <v>324</v>
      </c>
      <c r="B17" s="57">
        <v>100366458827</v>
      </c>
      <c r="C17" s="58" t="s">
        <v>51</v>
      </c>
      <c r="D17" s="87" t="s">
        <v>52</v>
      </c>
      <c r="E17" s="88">
        <v>30</v>
      </c>
      <c r="F17" s="89">
        <v>5500</v>
      </c>
      <c r="G17" s="89">
        <v>5500</v>
      </c>
      <c r="H17" s="61">
        <f t="shared" si="1"/>
        <v>660</v>
      </c>
      <c r="I17" s="21">
        <f t="shared" si="2"/>
        <v>660</v>
      </c>
    </row>
    <row r="18" spans="1:9" s="19" customFormat="1" ht="26.25" x14ac:dyDescent="0.25">
      <c r="A18" s="45">
        <v>326</v>
      </c>
      <c r="B18" s="57">
        <v>100353855918</v>
      </c>
      <c r="C18" s="58" t="s">
        <v>53</v>
      </c>
      <c r="D18" s="90" t="s">
        <v>54</v>
      </c>
      <c r="E18" s="88">
        <v>30</v>
      </c>
      <c r="F18" s="89">
        <v>5500</v>
      </c>
      <c r="G18" s="89">
        <v>5500</v>
      </c>
      <c r="H18" s="61">
        <f t="shared" si="1"/>
        <v>660</v>
      </c>
      <c r="I18" s="21">
        <f t="shared" si="2"/>
        <v>660</v>
      </c>
    </row>
    <row r="19" spans="1:9" s="19" customFormat="1" ht="15.75" x14ac:dyDescent="0.25">
      <c r="A19" s="45">
        <v>337</v>
      </c>
      <c r="B19" s="57">
        <v>100353650100</v>
      </c>
      <c r="C19" s="58" t="s">
        <v>57</v>
      </c>
      <c r="D19" s="92" t="s">
        <v>58</v>
      </c>
      <c r="E19" s="88">
        <v>30</v>
      </c>
      <c r="F19" s="89">
        <v>5500</v>
      </c>
      <c r="G19" s="89">
        <v>5500</v>
      </c>
      <c r="H19" s="61">
        <f t="shared" si="1"/>
        <v>660</v>
      </c>
      <c r="I19" s="21">
        <f t="shared" si="2"/>
        <v>660</v>
      </c>
    </row>
    <row r="20" spans="1:9" s="19" customFormat="1" ht="15.75" x14ac:dyDescent="0.25">
      <c r="A20" s="45">
        <v>372</v>
      </c>
      <c r="B20" s="57">
        <v>100091836225</v>
      </c>
      <c r="C20" s="58" t="s">
        <v>63</v>
      </c>
      <c r="D20" s="95" t="s">
        <v>64</v>
      </c>
      <c r="E20" s="83">
        <v>30</v>
      </c>
      <c r="F20" s="96">
        <v>5500</v>
      </c>
      <c r="G20" s="96">
        <v>5500</v>
      </c>
      <c r="H20" s="61">
        <f t="shared" si="1"/>
        <v>660</v>
      </c>
      <c r="I20" s="21">
        <f t="shared" si="2"/>
        <v>660</v>
      </c>
    </row>
    <row r="21" spans="1:9" s="19" customFormat="1" ht="15.75" x14ac:dyDescent="0.25">
      <c r="A21" s="45">
        <v>378</v>
      </c>
      <c r="B21" s="57">
        <v>100283282515</v>
      </c>
      <c r="C21" s="58" t="s">
        <v>65</v>
      </c>
      <c r="D21" s="95" t="s">
        <v>65</v>
      </c>
      <c r="E21" s="83">
        <v>30</v>
      </c>
      <c r="F21" s="89">
        <v>5500</v>
      </c>
      <c r="G21" s="89">
        <v>5500</v>
      </c>
      <c r="H21" s="61">
        <f t="shared" si="1"/>
        <v>660</v>
      </c>
      <c r="I21" s="21">
        <f t="shared" si="2"/>
        <v>660</v>
      </c>
    </row>
    <row r="22" spans="1:9" s="19" customFormat="1" ht="15.75" x14ac:dyDescent="0.25">
      <c r="A22" s="45">
        <v>390</v>
      </c>
      <c r="B22" s="57">
        <v>100353938598</v>
      </c>
      <c r="C22" s="58" t="s">
        <v>66</v>
      </c>
      <c r="D22" s="92" t="s">
        <v>67</v>
      </c>
      <c r="E22" s="83">
        <v>30</v>
      </c>
      <c r="F22" s="88">
        <v>5500</v>
      </c>
      <c r="G22" s="88">
        <v>5500</v>
      </c>
      <c r="H22" s="61">
        <f t="shared" si="1"/>
        <v>660</v>
      </c>
      <c r="I22" s="21">
        <f t="shared" si="2"/>
        <v>660</v>
      </c>
    </row>
    <row r="23" spans="1:9" s="19" customFormat="1" ht="15.75" x14ac:dyDescent="0.25">
      <c r="A23" s="45">
        <v>400</v>
      </c>
      <c r="B23" s="57">
        <v>100358397938</v>
      </c>
      <c r="C23" s="58" t="s">
        <v>70</v>
      </c>
      <c r="D23" s="98" t="s">
        <v>71</v>
      </c>
      <c r="E23" s="83">
        <v>30</v>
      </c>
      <c r="F23" s="88">
        <v>5500</v>
      </c>
      <c r="G23" s="88">
        <v>5500</v>
      </c>
      <c r="H23" s="61">
        <f t="shared" si="1"/>
        <v>660</v>
      </c>
      <c r="I23" s="21">
        <f t="shared" si="2"/>
        <v>660</v>
      </c>
    </row>
    <row r="24" spans="1:9" s="19" customFormat="1" ht="16.5" x14ac:dyDescent="0.25">
      <c r="A24" s="45">
        <v>434</v>
      </c>
      <c r="B24" s="57">
        <v>100353735967</v>
      </c>
      <c r="C24" s="58" t="s">
        <v>75</v>
      </c>
      <c r="D24" s="100" t="s">
        <v>76</v>
      </c>
      <c r="E24" s="83">
        <v>30</v>
      </c>
      <c r="F24" s="54">
        <v>5500</v>
      </c>
      <c r="G24" s="54">
        <v>5500</v>
      </c>
      <c r="H24" s="61">
        <f t="shared" si="1"/>
        <v>660</v>
      </c>
      <c r="I24" s="21">
        <f t="shared" ref="I24:I32" si="3">G24*12/100</f>
        <v>660</v>
      </c>
    </row>
    <row r="25" spans="1:9" s="19" customFormat="1" ht="16.5" x14ac:dyDescent="0.25">
      <c r="A25" s="45">
        <v>435</v>
      </c>
      <c r="B25" s="57">
        <v>100358401923</v>
      </c>
      <c r="C25" s="58" t="s">
        <v>77</v>
      </c>
      <c r="D25" s="100" t="s">
        <v>78</v>
      </c>
      <c r="E25" s="83">
        <v>30</v>
      </c>
      <c r="F25" s="54">
        <v>1000</v>
      </c>
      <c r="G25" s="54">
        <v>1000</v>
      </c>
      <c r="H25" s="61">
        <f t="shared" si="1"/>
        <v>120</v>
      </c>
      <c r="I25" s="21">
        <f t="shared" si="3"/>
        <v>120</v>
      </c>
    </row>
    <row r="26" spans="1:9" s="19" customFormat="1" ht="18" x14ac:dyDescent="0.25">
      <c r="A26" s="45">
        <v>443</v>
      </c>
      <c r="B26" s="57">
        <v>100205552698</v>
      </c>
      <c r="C26" s="58" t="s">
        <v>79</v>
      </c>
      <c r="D26" s="101" t="s">
        <v>80</v>
      </c>
      <c r="E26" s="83">
        <v>30</v>
      </c>
      <c r="F26" s="118">
        <v>5500</v>
      </c>
      <c r="G26" s="118">
        <v>5500</v>
      </c>
      <c r="H26" s="61">
        <f t="shared" si="1"/>
        <v>660</v>
      </c>
      <c r="I26" s="21">
        <f t="shared" si="3"/>
        <v>660</v>
      </c>
    </row>
    <row r="27" spans="1:9" s="19" customFormat="1" ht="33" x14ac:dyDescent="0.25">
      <c r="A27" s="45">
        <v>447</v>
      </c>
      <c r="B27" s="57">
        <v>100134159284</v>
      </c>
      <c r="C27" s="58" t="s">
        <v>81</v>
      </c>
      <c r="D27" s="103" t="s">
        <v>81</v>
      </c>
      <c r="E27" s="83">
        <v>30</v>
      </c>
      <c r="F27" s="103">
        <v>5500</v>
      </c>
      <c r="G27" s="103">
        <v>5500</v>
      </c>
      <c r="H27" s="61">
        <f t="shared" si="1"/>
        <v>660</v>
      </c>
      <c r="I27" s="21">
        <f t="shared" si="3"/>
        <v>660</v>
      </c>
    </row>
    <row r="28" spans="1:9" s="19" customFormat="1" ht="15.75" x14ac:dyDescent="0.25">
      <c r="A28" s="45">
        <v>451</v>
      </c>
      <c r="B28" s="57">
        <v>100162007981</v>
      </c>
      <c r="C28" s="58" t="s">
        <v>82</v>
      </c>
      <c r="D28" s="51" t="s">
        <v>83</v>
      </c>
      <c r="E28" s="83">
        <v>30</v>
      </c>
      <c r="F28" s="104">
        <v>2651</v>
      </c>
      <c r="G28" s="104">
        <v>2651</v>
      </c>
      <c r="H28" s="61">
        <f t="shared" si="1"/>
        <v>318.12</v>
      </c>
      <c r="I28" s="21">
        <f t="shared" si="3"/>
        <v>318.12</v>
      </c>
    </row>
    <row r="29" spans="1:9" s="19" customFormat="1" ht="15.75" x14ac:dyDescent="0.25">
      <c r="A29" s="45">
        <v>483</v>
      </c>
      <c r="B29" s="57">
        <v>100353780044</v>
      </c>
      <c r="C29" s="58" t="s">
        <v>92</v>
      </c>
      <c r="D29" s="108" t="s">
        <v>91</v>
      </c>
      <c r="E29" s="83">
        <v>30</v>
      </c>
      <c r="F29" s="109">
        <v>5500</v>
      </c>
      <c r="G29" s="109">
        <v>5500</v>
      </c>
      <c r="H29" s="61">
        <f t="shared" si="1"/>
        <v>660</v>
      </c>
      <c r="I29" s="21">
        <f t="shared" si="3"/>
        <v>660</v>
      </c>
    </row>
    <row r="30" spans="1:9" s="19" customFormat="1" ht="15.75" x14ac:dyDescent="0.25">
      <c r="A30" s="45">
        <v>485</v>
      </c>
      <c r="B30" s="57">
        <v>100236190637</v>
      </c>
      <c r="C30" s="58" t="s">
        <v>94</v>
      </c>
      <c r="D30" s="108" t="s">
        <v>93</v>
      </c>
      <c r="E30" s="83">
        <v>30</v>
      </c>
      <c r="F30" s="109">
        <v>5500</v>
      </c>
      <c r="G30" s="109">
        <v>5500</v>
      </c>
      <c r="H30" s="61">
        <f t="shared" si="1"/>
        <v>660</v>
      </c>
      <c r="I30" s="21">
        <f t="shared" si="3"/>
        <v>660</v>
      </c>
    </row>
    <row r="31" spans="1:9" s="19" customFormat="1" ht="15.75" x14ac:dyDescent="0.25">
      <c r="A31" s="45">
        <v>491</v>
      </c>
      <c r="B31" s="57">
        <v>100353509071</v>
      </c>
      <c r="C31" s="58" t="s">
        <v>97</v>
      </c>
      <c r="D31" s="58" t="s">
        <v>97</v>
      </c>
      <c r="E31" s="83">
        <v>30</v>
      </c>
      <c r="F31" s="110">
        <v>2651</v>
      </c>
      <c r="G31" s="110">
        <v>2651</v>
      </c>
      <c r="H31" s="61">
        <f t="shared" si="1"/>
        <v>318.12</v>
      </c>
      <c r="I31" s="21">
        <f t="shared" si="3"/>
        <v>318.12</v>
      </c>
    </row>
    <row r="32" spans="1:9" s="19" customFormat="1" ht="15.75" x14ac:dyDescent="0.25">
      <c r="A32" s="45">
        <v>492</v>
      </c>
      <c r="B32" s="57">
        <v>100353508759</v>
      </c>
      <c r="C32" s="58" t="s">
        <v>98</v>
      </c>
      <c r="D32" s="58" t="s">
        <v>98</v>
      </c>
      <c r="E32" s="83">
        <v>30</v>
      </c>
      <c r="F32" s="110">
        <v>2651</v>
      </c>
      <c r="G32" s="110">
        <v>2651</v>
      </c>
      <c r="H32" s="61">
        <f t="shared" si="1"/>
        <v>318.12</v>
      </c>
      <c r="I32" s="21">
        <f t="shared" si="3"/>
        <v>318.12</v>
      </c>
    </row>
    <row r="33" spans="1:9" s="19" customFormat="1" ht="15.75" x14ac:dyDescent="0.25">
      <c r="A33" s="45">
        <v>496</v>
      </c>
      <c r="B33" s="57">
        <v>100353505607</v>
      </c>
      <c r="C33" s="58" t="s">
        <v>100</v>
      </c>
      <c r="D33" s="58" t="s">
        <v>100</v>
      </c>
      <c r="E33" s="83">
        <v>30</v>
      </c>
      <c r="F33" s="110">
        <v>2000</v>
      </c>
      <c r="G33" s="110">
        <v>2000</v>
      </c>
      <c r="H33" s="61">
        <f t="shared" si="1"/>
        <v>240</v>
      </c>
      <c r="I33" s="21">
        <f>G33*12/100</f>
        <v>240</v>
      </c>
    </row>
    <row r="34" spans="1:9" s="19" customFormat="1" ht="15.75" x14ac:dyDescent="0.25">
      <c r="A34" s="45">
        <v>498</v>
      </c>
      <c r="B34" s="57">
        <v>100353509092</v>
      </c>
      <c r="C34" s="58" t="s">
        <v>101</v>
      </c>
      <c r="D34" s="58" t="s">
        <v>101</v>
      </c>
      <c r="E34" s="83">
        <v>30</v>
      </c>
      <c r="F34" s="110">
        <v>2651</v>
      </c>
      <c r="G34" s="110">
        <v>2651</v>
      </c>
      <c r="H34" s="61">
        <f t="shared" si="1"/>
        <v>318.12</v>
      </c>
      <c r="I34" s="21">
        <f>G34*12/100</f>
        <v>318.12</v>
      </c>
    </row>
    <row r="35" spans="1:9" s="19" customFormat="1" ht="15.75" x14ac:dyDescent="0.25">
      <c r="A35" s="45">
        <v>564</v>
      </c>
      <c r="B35" s="57">
        <v>100358576652</v>
      </c>
      <c r="C35" s="58" t="s">
        <v>104</v>
      </c>
      <c r="D35" s="86" t="s">
        <v>105</v>
      </c>
      <c r="E35" s="83">
        <v>30</v>
      </c>
      <c r="F35" s="112">
        <v>5500</v>
      </c>
      <c r="G35" s="112">
        <v>5500</v>
      </c>
      <c r="H35" s="61">
        <f t="shared" si="1"/>
        <v>660</v>
      </c>
      <c r="I35" s="21" t="e">
        <f>#REF!*12/100</f>
        <v>#REF!</v>
      </c>
    </row>
    <row r="36" spans="1:9" ht="15" x14ac:dyDescent="0.25">
      <c r="A36" s="24"/>
      <c r="B36" s="25"/>
      <c r="C36" s="9"/>
      <c r="D36" s="31"/>
      <c r="E36" s="9"/>
      <c r="F36" s="9"/>
      <c r="G36" s="121">
        <f>SUM(G3:G35)</f>
        <v>151723</v>
      </c>
      <c r="H36" s="9">
        <f>SUM(H3:H35)</f>
        <v>18206.759999999998</v>
      </c>
      <c r="I36" s="23"/>
    </row>
    <row r="37" spans="1:9" ht="17.25" x14ac:dyDescent="0.25">
      <c r="A37" s="24"/>
      <c r="B37" s="25"/>
      <c r="C37" s="26"/>
      <c r="D37" s="26"/>
      <c r="E37" s="27"/>
      <c r="F37" s="28"/>
      <c r="G37" s="29"/>
      <c r="H37" s="29"/>
      <c r="I37" s="23"/>
    </row>
    <row r="38" spans="1:9" x14ac:dyDescent="0.25">
      <c r="H38" s="35" t="s">
        <v>107</v>
      </c>
    </row>
    <row r="39" spans="1:9" x14ac:dyDescent="0.25">
      <c r="H39" s="36" t="s">
        <v>108</v>
      </c>
      <c r="I39" s="37"/>
    </row>
    <row r="40" spans="1:9" x14ac:dyDescent="0.25">
      <c r="H40" s="35" t="s">
        <v>109</v>
      </c>
    </row>
    <row r="41" spans="1:9" x14ac:dyDescent="0.25">
      <c r="H41" s="35" t="s">
        <v>110</v>
      </c>
      <c r="I41" s="38">
        <v>124974</v>
      </c>
    </row>
    <row r="42" spans="1:9" x14ac:dyDescent="0.25">
      <c r="H42" s="35" t="s">
        <v>111</v>
      </c>
    </row>
    <row r="43" spans="1:9" x14ac:dyDescent="0.25">
      <c r="F43" s="39"/>
      <c r="G43" s="39" t="e">
        <f>#REF!-I47</f>
        <v>#REF!</v>
      </c>
      <c r="H43" s="35" t="s">
        <v>112</v>
      </c>
      <c r="I43" s="38"/>
    </row>
    <row r="44" spans="1:9" x14ac:dyDescent="0.25">
      <c r="H44" s="35" t="s">
        <v>113</v>
      </c>
    </row>
    <row r="45" spans="1:9" x14ac:dyDescent="0.25">
      <c r="F45" s="39">
        <v>7244</v>
      </c>
      <c r="H45" s="35" t="s">
        <v>114</v>
      </c>
    </row>
    <row r="46" spans="1:9" x14ac:dyDescent="0.25">
      <c r="F46" s="39"/>
      <c r="H46" s="35" t="s">
        <v>115</v>
      </c>
      <c r="I46" s="22">
        <v>51879</v>
      </c>
    </row>
    <row r="47" spans="1:9" x14ac:dyDescent="0.25">
      <c r="G47" s="39"/>
      <c r="I47" s="22">
        <f>SUM(I38:I46)</f>
        <v>176853</v>
      </c>
    </row>
    <row r="48" spans="1:9" x14ac:dyDescent="0.25">
      <c r="F48" s="40"/>
      <c r="G48" s="40"/>
      <c r="I48" s="23"/>
    </row>
    <row r="49" spans="1:14" x14ac:dyDescent="0.25">
      <c r="F49" s="40"/>
      <c r="G49" s="41"/>
    </row>
    <row r="50" spans="1:14" x14ac:dyDescent="0.25">
      <c r="F50" s="40"/>
      <c r="G50" s="40"/>
      <c r="I50" s="23"/>
    </row>
    <row r="51" spans="1:14" ht="25.5" x14ac:dyDescent="0.25">
      <c r="A51" s="18" t="s">
        <v>106</v>
      </c>
      <c r="B51" s="20">
        <v>19250</v>
      </c>
      <c r="C51" s="20">
        <v>13960</v>
      </c>
      <c r="D51" s="20">
        <v>1800</v>
      </c>
      <c r="E51" s="30"/>
      <c r="F51" s="31"/>
      <c r="G51" s="31"/>
      <c r="H51" s="31"/>
      <c r="I51" s="32"/>
      <c r="J51" s="33"/>
      <c r="K51" s="40"/>
      <c r="L51" s="40"/>
      <c r="M51" s="35"/>
      <c r="N51" s="22"/>
    </row>
    <row r="53" spans="1:14" x14ac:dyDescent="0.25">
      <c r="E53" s="33">
        <v>42983</v>
      </c>
      <c r="F53" s="34">
        <v>17783</v>
      </c>
      <c r="G53" s="34">
        <f>E53-F53</f>
        <v>25200</v>
      </c>
    </row>
    <row r="54" spans="1:14" x14ac:dyDescent="0.25">
      <c r="G54" s="34">
        <v>18114</v>
      </c>
    </row>
    <row r="55" spans="1:14" x14ac:dyDescent="0.25">
      <c r="G55" s="34">
        <f>SUM(G53:G54)</f>
        <v>43314</v>
      </c>
      <c r="H55" s="35">
        <v>42728</v>
      </c>
      <c r="I55" s="22">
        <f>G55-H55</f>
        <v>586</v>
      </c>
    </row>
    <row r="59" spans="1:14" s="30" customFormat="1" x14ac:dyDescent="0.25">
      <c r="B59" s="31"/>
      <c r="C59" s="31"/>
      <c r="D59" s="32"/>
      <c r="E59" s="33"/>
      <c r="F59" s="34"/>
      <c r="G59" s="34"/>
      <c r="H59" s="35"/>
      <c r="I59" s="22"/>
    </row>
    <row r="90" spans="2:9" s="30" customFormat="1" x14ac:dyDescent="0.25">
      <c r="B90" s="31"/>
      <c r="C90" s="31"/>
      <c r="D90" s="32"/>
      <c r="E90" s="33"/>
      <c r="F90" s="34"/>
      <c r="G90" s="34"/>
      <c r="H90" s="35"/>
      <c r="I90" s="22"/>
    </row>
    <row r="145" spans="2:9" s="30" customFormat="1" x14ac:dyDescent="0.25">
      <c r="B145" s="31"/>
      <c r="C145" s="31"/>
      <c r="D145" s="32"/>
      <c r="E145" s="33"/>
      <c r="F145" s="34"/>
      <c r="G145" s="34"/>
      <c r="H145" s="35"/>
      <c r="I145" s="22"/>
    </row>
  </sheetData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opLeftCell="A22" workbookViewId="0">
      <selection activeCell="J30" sqref="J30"/>
    </sheetView>
  </sheetViews>
  <sheetFormatPr defaultRowHeight="18.75" x14ac:dyDescent="0.25"/>
  <cols>
    <col min="1" max="1" width="9.140625" style="30"/>
    <col min="2" max="2" width="19.8554687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5703125" style="35" bestFit="1" customWidth="1"/>
    <col min="9" max="9" width="9.140625" style="22"/>
    <col min="10" max="16384" width="9.140625" style="9"/>
  </cols>
  <sheetData>
    <row r="1" spans="1:9" x14ac:dyDescent="0.25">
      <c r="A1" s="1">
        <v>39569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>G3*12/100</f>
        <v>660</v>
      </c>
      <c r="I3" s="21">
        <f t="shared" ref="I3:I12" si="0">G3*12/100</f>
        <v>660</v>
      </c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5500</v>
      </c>
      <c r="G4" s="61">
        <v>5500</v>
      </c>
      <c r="H4" s="61">
        <f t="shared" ref="H4:H41" si="1">G4*12/100</f>
        <v>660</v>
      </c>
      <c r="I4" s="21">
        <f t="shared" si="0"/>
        <v>660</v>
      </c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2651</v>
      </c>
      <c r="G5" s="62">
        <v>2651</v>
      </c>
      <c r="H5" s="61">
        <f t="shared" si="1"/>
        <v>318.12</v>
      </c>
      <c r="I5" s="21">
        <f t="shared" si="0"/>
        <v>318.12</v>
      </c>
    </row>
    <row r="6" spans="1:9" s="19" customFormat="1" ht="25.5" x14ac:dyDescent="0.25">
      <c r="A6" s="45">
        <v>50</v>
      </c>
      <c r="B6" s="57">
        <v>100253724762</v>
      </c>
      <c r="C6" s="58" t="s">
        <v>15</v>
      </c>
      <c r="D6" s="64" t="s">
        <v>16</v>
      </c>
      <c r="E6" s="65">
        <v>30</v>
      </c>
      <c r="F6" s="64">
        <v>5500</v>
      </c>
      <c r="G6" s="64">
        <v>5500</v>
      </c>
      <c r="H6" s="61">
        <f t="shared" si="1"/>
        <v>660</v>
      </c>
      <c r="I6" s="21">
        <f t="shared" si="0"/>
        <v>660</v>
      </c>
    </row>
    <row r="7" spans="1:9" s="19" customFormat="1" ht="15.75" x14ac:dyDescent="0.25">
      <c r="A7" s="45">
        <v>82</v>
      </c>
      <c r="B7" s="57">
        <v>100337411384</v>
      </c>
      <c r="C7" s="58" t="s">
        <v>18</v>
      </c>
      <c r="D7" s="67" t="s">
        <v>18</v>
      </c>
      <c r="E7" s="65">
        <v>29</v>
      </c>
      <c r="F7" s="64">
        <v>2651</v>
      </c>
      <c r="G7" s="64">
        <v>2651</v>
      </c>
      <c r="H7" s="61">
        <f t="shared" si="1"/>
        <v>318.12</v>
      </c>
      <c r="I7" s="21">
        <f t="shared" si="0"/>
        <v>318.12</v>
      </c>
    </row>
    <row r="8" spans="1:9" s="19" customFormat="1" ht="15.75" x14ac:dyDescent="0.25">
      <c r="A8" s="45">
        <v>96</v>
      </c>
      <c r="B8" s="57">
        <v>100071591724</v>
      </c>
      <c r="C8" s="58" t="s">
        <v>21</v>
      </c>
      <c r="D8" s="65" t="s">
        <v>21</v>
      </c>
      <c r="E8" s="65">
        <v>30</v>
      </c>
      <c r="F8" s="64">
        <v>5500</v>
      </c>
      <c r="G8" s="64">
        <v>5500</v>
      </c>
      <c r="H8" s="61">
        <f t="shared" si="1"/>
        <v>660</v>
      </c>
      <c r="I8" s="21">
        <f t="shared" si="0"/>
        <v>660</v>
      </c>
    </row>
    <row r="9" spans="1:9" s="19" customFormat="1" ht="15.75" x14ac:dyDescent="0.25">
      <c r="A9" s="45">
        <v>112</v>
      </c>
      <c r="B9" s="57">
        <v>100353622159</v>
      </c>
      <c r="C9" s="58" t="s">
        <v>24</v>
      </c>
      <c r="D9" s="65" t="s">
        <v>25</v>
      </c>
      <c r="E9" s="48">
        <v>30</v>
      </c>
      <c r="F9" s="48">
        <v>5500</v>
      </c>
      <c r="G9" s="48">
        <v>5500</v>
      </c>
      <c r="H9" s="61">
        <f t="shared" si="1"/>
        <v>660</v>
      </c>
      <c r="I9" s="21">
        <f t="shared" si="0"/>
        <v>660</v>
      </c>
    </row>
    <row r="10" spans="1:9" s="19" customFormat="1" ht="15.75" x14ac:dyDescent="0.25">
      <c r="A10" s="45">
        <v>126</v>
      </c>
      <c r="B10" s="57">
        <v>100358535750</v>
      </c>
      <c r="C10" s="58" t="s">
        <v>26</v>
      </c>
      <c r="D10" s="51" t="s">
        <v>27</v>
      </c>
      <c r="E10" s="69">
        <v>30</v>
      </c>
      <c r="F10" s="69">
        <v>5500</v>
      </c>
      <c r="G10" s="69">
        <v>5500</v>
      </c>
      <c r="H10" s="61">
        <f t="shared" si="1"/>
        <v>660</v>
      </c>
      <c r="I10" s="21">
        <f t="shared" si="0"/>
        <v>660</v>
      </c>
    </row>
    <row r="11" spans="1:9" s="19" customFormat="1" ht="15.75" x14ac:dyDescent="0.25">
      <c r="A11" s="45">
        <v>134</v>
      </c>
      <c r="B11" s="57">
        <v>100084707366</v>
      </c>
      <c r="C11" s="58" t="s">
        <v>28</v>
      </c>
      <c r="D11" s="71" t="s">
        <v>28</v>
      </c>
      <c r="E11" s="48">
        <v>30</v>
      </c>
      <c r="F11" s="71">
        <v>5500</v>
      </c>
      <c r="G11" s="71">
        <v>5500</v>
      </c>
      <c r="H11" s="61">
        <f t="shared" si="1"/>
        <v>660</v>
      </c>
      <c r="I11" s="21">
        <f t="shared" si="0"/>
        <v>660</v>
      </c>
    </row>
    <row r="12" spans="1:9" s="19" customFormat="1" ht="15.75" x14ac:dyDescent="0.25">
      <c r="A12" s="45">
        <v>136</v>
      </c>
      <c r="B12" s="57">
        <v>100167059875</v>
      </c>
      <c r="C12" s="58" t="s">
        <v>29</v>
      </c>
      <c r="D12" s="65" t="s">
        <v>30</v>
      </c>
      <c r="E12" s="48">
        <v>30</v>
      </c>
      <c r="F12" s="49">
        <v>5500</v>
      </c>
      <c r="G12" s="49">
        <v>5500</v>
      </c>
      <c r="H12" s="61">
        <f t="shared" si="1"/>
        <v>660</v>
      </c>
      <c r="I12" s="21">
        <f t="shared" si="0"/>
        <v>660</v>
      </c>
    </row>
    <row r="13" spans="1:9" s="19" customFormat="1" ht="15.75" x14ac:dyDescent="0.25">
      <c r="A13" s="45">
        <v>149</v>
      </c>
      <c r="B13" s="57">
        <v>100333985226</v>
      </c>
      <c r="C13" s="58" t="s">
        <v>31</v>
      </c>
      <c r="D13" s="51" t="s">
        <v>32</v>
      </c>
      <c r="E13" s="72">
        <v>30</v>
      </c>
      <c r="F13" s="72">
        <v>700</v>
      </c>
      <c r="G13" s="72">
        <v>700</v>
      </c>
      <c r="H13" s="61">
        <f t="shared" si="1"/>
        <v>84</v>
      </c>
      <c r="I13" s="21">
        <f t="shared" ref="I13:I25" si="2">G13*12/100</f>
        <v>84</v>
      </c>
    </row>
    <row r="14" spans="1:9" s="19" customFormat="1" ht="15.75" x14ac:dyDescent="0.25">
      <c r="A14" s="45">
        <v>195</v>
      </c>
      <c r="B14" s="57">
        <v>100235466823</v>
      </c>
      <c r="C14" s="58" t="s">
        <v>34</v>
      </c>
      <c r="D14" s="75" t="s">
        <v>35</v>
      </c>
      <c r="E14" s="75">
        <v>30</v>
      </c>
      <c r="F14" s="75">
        <v>5500</v>
      </c>
      <c r="G14" s="75">
        <v>5500</v>
      </c>
      <c r="H14" s="61">
        <f t="shared" si="1"/>
        <v>660</v>
      </c>
      <c r="I14" s="21">
        <f t="shared" si="2"/>
        <v>660</v>
      </c>
    </row>
    <row r="15" spans="1:9" s="19" customFormat="1" ht="30" x14ac:dyDescent="0.25">
      <c r="A15" s="45">
        <v>204</v>
      </c>
      <c r="B15" s="57">
        <v>100232169483</v>
      </c>
      <c r="C15" s="58" t="s">
        <v>37</v>
      </c>
      <c r="D15" s="75" t="s">
        <v>38</v>
      </c>
      <c r="E15" s="50">
        <v>30</v>
      </c>
      <c r="F15" s="50">
        <v>5500</v>
      </c>
      <c r="G15" s="50">
        <v>5500</v>
      </c>
      <c r="H15" s="61">
        <f t="shared" si="1"/>
        <v>660</v>
      </c>
      <c r="I15" s="21">
        <f t="shared" si="2"/>
        <v>660</v>
      </c>
    </row>
    <row r="16" spans="1:9" s="19" customFormat="1" ht="15.75" x14ac:dyDescent="0.25">
      <c r="A16" s="45">
        <v>224</v>
      </c>
      <c r="B16" s="57">
        <v>100112371371</v>
      </c>
      <c r="C16" s="58" t="s">
        <v>39</v>
      </c>
      <c r="D16" s="77" t="s">
        <v>40</v>
      </c>
      <c r="E16" s="75">
        <v>30</v>
      </c>
      <c r="F16" s="77">
        <v>532</v>
      </c>
      <c r="G16" s="77">
        <v>532</v>
      </c>
      <c r="H16" s="61">
        <f t="shared" si="1"/>
        <v>63.84</v>
      </c>
      <c r="I16" s="21">
        <f t="shared" si="2"/>
        <v>63.84</v>
      </c>
    </row>
    <row r="17" spans="1:9" s="19" customFormat="1" ht="15.75" x14ac:dyDescent="0.25">
      <c r="A17" s="45">
        <v>252</v>
      </c>
      <c r="B17" s="57">
        <v>100373345016</v>
      </c>
      <c r="C17" s="58" t="s">
        <v>43</v>
      </c>
      <c r="D17" s="79" t="s">
        <v>44</v>
      </c>
      <c r="E17" s="77">
        <v>30</v>
      </c>
      <c r="F17" s="80">
        <v>5500</v>
      </c>
      <c r="G17" s="80">
        <v>5500</v>
      </c>
      <c r="H17" s="61">
        <f t="shared" si="1"/>
        <v>660</v>
      </c>
      <c r="I17" s="21">
        <f t="shared" si="2"/>
        <v>660</v>
      </c>
    </row>
    <row r="18" spans="1:9" s="19" customFormat="1" ht="15.75" x14ac:dyDescent="0.25">
      <c r="A18" s="45">
        <v>269</v>
      </c>
      <c r="B18" s="57">
        <v>100353847332</v>
      </c>
      <c r="C18" s="58" t="s">
        <v>46</v>
      </c>
      <c r="D18" s="83" t="s">
        <v>47</v>
      </c>
      <c r="E18" s="83">
        <v>30</v>
      </c>
      <c r="F18" s="84">
        <v>5500</v>
      </c>
      <c r="G18" s="84">
        <v>5500</v>
      </c>
      <c r="H18" s="61">
        <f t="shared" si="1"/>
        <v>660</v>
      </c>
      <c r="I18" s="21">
        <f t="shared" si="2"/>
        <v>660</v>
      </c>
    </row>
    <row r="19" spans="1:9" s="19" customFormat="1" ht="15.75" x14ac:dyDescent="0.25">
      <c r="A19" s="45">
        <v>324</v>
      </c>
      <c r="B19" s="57">
        <v>100366458827</v>
      </c>
      <c r="C19" s="58" t="s">
        <v>51</v>
      </c>
      <c r="D19" s="87" t="s">
        <v>52</v>
      </c>
      <c r="E19" s="88">
        <v>30</v>
      </c>
      <c r="F19" s="89">
        <v>5500</v>
      </c>
      <c r="G19" s="89">
        <v>5500</v>
      </c>
      <c r="H19" s="61">
        <f t="shared" si="1"/>
        <v>660</v>
      </c>
      <c r="I19" s="21">
        <f t="shared" si="2"/>
        <v>660</v>
      </c>
    </row>
    <row r="20" spans="1:9" s="19" customFormat="1" ht="26.25" x14ac:dyDescent="0.25">
      <c r="A20" s="45">
        <v>326</v>
      </c>
      <c r="B20" s="57">
        <v>100353855918</v>
      </c>
      <c r="C20" s="58" t="s">
        <v>53</v>
      </c>
      <c r="D20" s="90" t="s">
        <v>54</v>
      </c>
      <c r="E20" s="88">
        <v>30</v>
      </c>
      <c r="F20" s="89">
        <v>5500</v>
      </c>
      <c r="G20" s="89">
        <v>5500</v>
      </c>
      <c r="H20" s="61">
        <f t="shared" si="1"/>
        <v>660</v>
      </c>
      <c r="I20" s="21">
        <f t="shared" si="2"/>
        <v>660</v>
      </c>
    </row>
    <row r="21" spans="1:9" s="19" customFormat="1" ht="15.75" x14ac:dyDescent="0.25">
      <c r="A21" s="45">
        <v>337</v>
      </c>
      <c r="B21" s="57">
        <v>100353650100</v>
      </c>
      <c r="C21" s="58" t="s">
        <v>57</v>
      </c>
      <c r="D21" s="92" t="s">
        <v>58</v>
      </c>
      <c r="E21" s="88">
        <v>30</v>
      </c>
      <c r="F21" s="89">
        <v>5500</v>
      </c>
      <c r="G21" s="89">
        <v>5500</v>
      </c>
      <c r="H21" s="61">
        <f t="shared" si="1"/>
        <v>660</v>
      </c>
      <c r="I21" s="21">
        <f t="shared" si="2"/>
        <v>660</v>
      </c>
    </row>
    <row r="22" spans="1:9" s="19" customFormat="1" ht="15.75" x14ac:dyDescent="0.25">
      <c r="A22" s="45">
        <v>372</v>
      </c>
      <c r="B22" s="57">
        <v>100091836225</v>
      </c>
      <c r="C22" s="58" t="s">
        <v>63</v>
      </c>
      <c r="D22" s="95" t="s">
        <v>64</v>
      </c>
      <c r="E22" s="83">
        <v>30</v>
      </c>
      <c r="F22" s="96">
        <v>5500</v>
      </c>
      <c r="G22" s="96">
        <v>5500</v>
      </c>
      <c r="H22" s="61">
        <f t="shared" si="1"/>
        <v>660</v>
      </c>
      <c r="I22" s="21">
        <f t="shared" si="2"/>
        <v>660</v>
      </c>
    </row>
    <row r="23" spans="1:9" s="19" customFormat="1" ht="15.75" x14ac:dyDescent="0.25">
      <c r="A23" s="45">
        <v>378</v>
      </c>
      <c r="B23" s="57">
        <v>100283282515</v>
      </c>
      <c r="C23" s="58" t="s">
        <v>65</v>
      </c>
      <c r="D23" s="95" t="s">
        <v>65</v>
      </c>
      <c r="E23" s="83">
        <v>30</v>
      </c>
      <c r="F23" s="89">
        <v>5500</v>
      </c>
      <c r="G23" s="89">
        <v>5500</v>
      </c>
      <c r="H23" s="61">
        <f t="shared" si="1"/>
        <v>660</v>
      </c>
      <c r="I23" s="21">
        <f t="shared" si="2"/>
        <v>660</v>
      </c>
    </row>
    <row r="24" spans="1:9" s="19" customFormat="1" ht="15.75" x14ac:dyDescent="0.25">
      <c r="A24" s="45">
        <v>390</v>
      </c>
      <c r="B24" s="57">
        <v>100353938598</v>
      </c>
      <c r="C24" s="58" t="s">
        <v>66</v>
      </c>
      <c r="D24" s="92" t="s">
        <v>67</v>
      </c>
      <c r="E24" s="83">
        <v>30</v>
      </c>
      <c r="F24" s="88">
        <v>5500</v>
      </c>
      <c r="G24" s="88">
        <v>5500</v>
      </c>
      <c r="H24" s="61">
        <f t="shared" si="1"/>
        <v>660</v>
      </c>
      <c r="I24" s="21">
        <f t="shared" si="2"/>
        <v>660</v>
      </c>
    </row>
    <row r="25" spans="1:9" s="19" customFormat="1" ht="15.75" x14ac:dyDescent="0.25">
      <c r="A25" s="45">
        <v>400</v>
      </c>
      <c r="B25" s="57">
        <v>100358397938</v>
      </c>
      <c r="C25" s="58" t="s">
        <v>70</v>
      </c>
      <c r="D25" s="98" t="s">
        <v>71</v>
      </c>
      <c r="E25" s="83">
        <v>30</v>
      </c>
      <c r="F25" s="88">
        <v>5500</v>
      </c>
      <c r="G25" s="88">
        <v>5500</v>
      </c>
      <c r="H25" s="61">
        <f t="shared" si="1"/>
        <v>660</v>
      </c>
      <c r="I25" s="21">
        <f t="shared" si="2"/>
        <v>660</v>
      </c>
    </row>
    <row r="26" spans="1:9" s="19" customFormat="1" ht="16.5" x14ac:dyDescent="0.25">
      <c r="A26" s="45">
        <v>434</v>
      </c>
      <c r="B26" s="57">
        <v>100353735967</v>
      </c>
      <c r="C26" s="58" t="s">
        <v>75</v>
      </c>
      <c r="D26" s="100" t="s">
        <v>76</v>
      </c>
      <c r="E26" s="83">
        <v>30</v>
      </c>
      <c r="F26" s="54">
        <v>5500</v>
      </c>
      <c r="G26" s="54">
        <v>5500</v>
      </c>
      <c r="H26" s="61">
        <f t="shared" si="1"/>
        <v>660</v>
      </c>
      <c r="I26" s="21">
        <f t="shared" ref="I26:I38" si="3">G26*12/100</f>
        <v>660</v>
      </c>
    </row>
    <row r="27" spans="1:9" s="19" customFormat="1" ht="16.5" x14ac:dyDescent="0.25">
      <c r="A27" s="45">
        <v>435</v>
      </c>
      <c r="B27" s="57">
        <v>100358401923</v>
      </c>
      <c r="C27" s="58" t="s">
        <v>77</v>
      </c>
      <c r="D27" s="100" t="s">
        <v>78</v>
      </c>
      <c r="E27" s="83">
        <v>30</v>
      </c>
      <c r="F27" s="54">
        <v>1000</v>
      </c>
      <c r="G27" s="54">
        <v>1000</v>
      </c>
      <c r="H27" s="61">
        <f t="shared" si="1"/>
        <v>120</v>
      </c>
      <c r="I27" s="21">
        <f t="shared" si="3"/>
        <v>120</v>
      </c>
    </row>
    <row r="28" spans="1:9" s="19" customFormat="1" ht="18" x14ac:dyDescent="0.25">
      <c r="A28" s="45">
        <v>443</v>
      </c>
      <c r="B28" s="57">
        <v>100205552698</v>
      </c>
      <c r="C28" s="58" t="s">
        <v>79</v>
      </c>
      <c r="D28" s="101" t="s">
        <v>80</v>
      </c>
      <c r="E28" s="83">
        <v>30</v>
      </c>
      <c r="F28" s="102">
        <v>5500</v>
      </c>
      <c r="G28" s="102">
        <v>5500</v>
      </c>
      <c r="H28" s="61">
        <f t="shared" si="1"/>
        <v>660</v>
      </c>
      <c r="I28" s="21">
        <f t="shared" si="3"/>
        <v>660</v>
      </c>
    </row>
    <row r="29" spans="1:9" s="19" customFormat="1" ht="33" x14ac:dyDescent="0.25">
      <c r="A29" s="45">
        <v>447</v>
      </c>
      <c r="B29" s="57">
        <v>100134159284</v>
      </c>
      <c r="C29" s="58" t="s">
        <v>81</v>
      </c>
      <c r="D29" s="103" t="s">
        <v>81</v>
      </c>
      <c r="E29" s="83">
        <v>30</v>
      </c>
      <c r="F29" s="103">
        <v>5500</v>
      </c>
      <c r="G29" s="103">
        <v>5500</v>
      </c>
      <c r="H29" s="61">
        <f t="shared" si="1"/>
        <v>660</v>
      </c>
      <c r="I29" s="21">
        <f t="shared" si="3"/>
        <v>660</v>
      </c>
    </row>
    <row r="30" spans="1:9" s="19" customFormat="1" ht="15.75" x14ac:dyDescent="0.25">
      <c r="A30" s="45">
        <v>451</v>
      </c>
      <c r="B30" s="57">
        <v>100162007981</v>
      </c>
      <c r="C30" s="58" t="s">
        <v>82</v>
      </c>
      <c r="D30" s="51" t="s">
        <v>83</v>
      </c>
      <c r="E30" s="83">
        <v>30</v>
      </c>
      <c r="F30" s="104">
        <v>2651</v>
      </c>
      <c r="G30" s="104">
        <v>2651</v>
      </c>
      <c r="H30" s="61">
        <f t="shared" si="1"/>
        <v>318.12</v>
      </c>
      <c r="I30" s="21">
        <f t="shared" si="3"/>
        <v>318.12</v>
      </c>
    </row>
    <row r="31" spans="1:9" s="19" customFormat="1" ht="15.75" x14ac:dyDescent="0.25">
      <c r="A31" s="45">
        <v>481</v>
      </c>
      <c r="B31" s="57">
        <v>100358411358</v>
      </c>
      <c r="C31" s="58" t="s">
        <v>88</v>
      </c>
      <c r="D31" s="119" t="s">
        <v>87</v>
      </c>
      <c r="E31" s="83">
        <v>30</v>
      </c>
      <c r="F31" s="109">
        <v>532</v>
      </c>
      <c r="G31" s="109">
        <v>532</v>
      </c>
      <c r="H31" s="61">
        <f t="shared" si="1"/>
        <v>63.84</v>
      </c>
      <c r="I31" s="21">
        <f t="shared" si="3"/>
        <v>63.84</v>
      </c>
    </row>
    <row r="32" spans="1:9" s="19" customFormat="1" ht="15.75" x14ac:dyDescent="0.25">
      <c r="A32" s="45">
        <v>482</v>
      </c>
      <c r="B32" s="57">
        <v>100353504634</v>
      </c>
      <c r="C32" s="58" t="s">
        <v>90</v>
      </c>
      <c r="D32" s="119" t="s">
        <v>89</v>
      </c>
      <c r="E32" s="83">
        <v>30</v>
      </c>
      <c r="F32" s="109">
        <v>532</v>
      </c>
      <c r="G32" s="109">
        <v>532</v>
      </c>
      <c r="H32" s="61">
        <f t="shared" si="1"/>
        <v>63.84</v>
      </c>
      <c r="I32" s="21">
        <f t="shared" si="3"/>
        <v>63.84</v>
      </c>
    </row>
    <row r="33" spans="1:9" s="19" customFormat="1" ht="15.75" x14ac:dyDescent="0.25">
      <c r="A33" s="45">
        <v>483</v>
      </c>
      <c r="B33" s="57">
        <v>100353780044</v>
      </c>
      <c r="C33" s="58" t="s">
        <v>92</v>
      </c>
      <c r="D33" s="119" t="s">
        <v>91</v>
      </c>
      <c r="E33" s="83">
        <v>30</v>
      </c>
      <c r="F33" s="109">
        <v>5500</v>
      </c>
      <c r="G33" s="109">
        <v>5500</v>
      </c>
      <c r="H33" s="61">
        <f t="shared" si="1"/>
        <v>660</v>
      </c>
      <c r="I33" s="21">
        <f t="shared" si="3"/>
        <v>660</v>
      </c>
    </row>
    <row r="34" spans="1:9" s="19" customFormat="1" ht="15.75" x14ac:dyDescent="0.25">
      <c r="A34" s="45">
        <v>485</v>
      </c>
      <c r="B34" s="57">
        <v>100236190637</v>
      </c>
      <c r="C34" s="58" t="s">
        <v>94</v>
      </c>
      <c r="D34" s="119" t="s">
        <v>93</v>
      </c>
      <c r="E34" s="83">
        <v>30</v>
      </c>
      <c r="F34" s="109">
        <v>5500</v>
      </c>
      <c r="G34" s="109">
        <v>5500</v>
      </c>
      <c r="H34" s="61">
        <f t="shared" si="1"/>
        <v>660</v>
      </c>
      <c r="I34" s="21">
        <f t="shared" si="3"/>
        <v>660</v>
      </c>
    </row>
    <row r="35" spans="1:9" s="42" customFormat="1" ht="15.75" x14ac:dyDescent="0.25">
      <c r="A35" s="45">
        <v>487</v>
      </c>
      <c r="B35" s="57">
        <v>100358418267</v>
      </c>
      <c r="C35" s="58" t="s">
        <v>96</v>
      </c>
      <c r="D35" s="119" t="s">
        <v>95</v>
      </c>
      <c r="E35" s="83">
        <v>30</v>
      </c>
      <c r="F35" s="109">
        <v>2859</v>
      </c>
      <c r="G35" s="109">
        <v>2859</v>
      </c>
      <c r="H35" s="61">
        <f t="shared" si="1"/>
        <v>343.08</v>
      </c>
      <c r="I35" s="21">
        <f t="shared" si="3"/>
        <v>343.08</v>
      </c>
    </row>
    <row r="36" spans="1:9" s="19" customFormat="1" ht="15.75" x14ac:dyDescent="0.25">
      <c r="A36" s="45">
        <v>491</v>
      </c>
      <c r="B36" s="57">
        <v>100353509071</v>
      </c>
      <c r="C36" s="58" t="s">
        <v>97</v>
      </c>
      <c r="D36" s="58" t="s">
        <v>97</v>
      </c>
      <c r="E36" s="83">
        <v>30</v>
      </c>
      <c r="F36" s="110">
        <v>2651</v>
      </c>
      <c r="G36" s="110">
        <v>2651</v>
      </c>
      <c r="H36" s="61">
        <f t="shared" si="1"/>
        <v>318.12</v>
      </c>
      <c r="I36" s="21">
        <f t="shared" si="3"/>
        <v>318.12</v>
      </c>
    </row>
    <row r="37" spans="1:9" s="19" customFormat="1" ht="15.75" x14ac:dyDescent="0.25">
      <c r="A37" s="45">
        <v>492</v>
      </c>
      <c r="B37" s="57">
        <v>100353508759</v>
      </c>
      <c r="C37" s="58" t="s">
        <v>98</v>
      </c>
      <c r="D37" s="58" t="s">
        <v>98</v>
      </c>
      <c r="E37" s="83">
        <v>30</v>
      </c>
      <c r="F37" s="110">
        <v>2651</v>
      </c>
      <c r="G37" s="110">
        <v>2651</v>
      </c>
      <c r="H37" s="61">
        <f t="shared" si="1"/>
        <v>318.12</v>
      </c>
      <c r="I37" s="21">
        <f t="shared" si="3"/>
        <v>318.12</v>
      </c>
    </row>
    <row r="38" spans="1:9" s="19" customFormat="1" ht="15.75" x14ac:dyDescent="0.25">
      <c r="A38" s="45">
        <v>493</v>
      </c>
      <c r="B38" s="57">
        <v>100353509419</v>
      </c>
      <c r="C38" s="58" t="s">
        <v>99</v>
      </c>
      <c r="D38" s="58" t="s">
        <v>99</v>
      </c>
      <c r="E38" s="83">
        <v>30</v>
      </c>
      <c r="F38" s="110">
        <v>2651</v>
      </c>
      <c r="G38" s="110">
        <v>2651</v>
      </c>
      <c r="H38" s="61">
        <f t="shared" si="1"/>
        <v>318.12</v>
      </c>
      <c r="I38" s="21">
        <f t="shared" si="3"/>
        <v>318.12</v>
      </c>
    </row>
    <row r="39" spans="1:9" s="19" customFormat="1" ht="15.75" x14ac:dyDescent="0.25">
      <c r="A39" s="45">
        <v>496</v>
      </c>
      <c r="B39" s="57">
        <v>100353505607</v>
      </c>
      <c r="C39" s="58" t="s">
        <v>100</v>
      </c>
      <c r="D39" s="58" t="s">
        <v>100</v>
      </c>
      <c r="E39" s="83">
        <v>30</v>
      </c>
      <c r="F39" s="110">
        <v>2000</v>
      </c>
      <c r="G39" s="110">
        <v>2000</v>
      </c>
      <c r="H39" s="61">
        <f t="shared" si="1"/>
        <v>240</v>
      </c>
      <c r="I39" s="21">
        <f>G39*12/100</f>
        <v>240</v>
      </c>
    </row>
    <row r="40" spans="1:9" s="19" customFormat="1" ht="15.75" x14ac:dyDescent="0.25">
      <c r="A40" s="45">
        <v>498</v>
      </c>
      <c r="B40" s="57">
        <v>100353509092</v>
      </c>
      <c r="C40" s="58" t="s">
        <v>101</v>
      </c>
      <c r="D40" s="58" t="s">
        <v>101</v>
      </c>
      <c r="E40" s="83">
        <v>30</v>
      </c>
      <c r="F40" s="110">
        <v>2651</v>
      </c>
      <c r="G40" s="110">
        <v>2651</v>
      </c>
      <c r="H40" s="61">
        <f t="shared" si="1"/>
        <v>318.12</v>
      </c>
      <c r="I40" s="21">
        <f>G40*12/100</f>
        <v>318.12</v>
      </c>
    </row>
    <row r="41" spans="1:9" s="19" customFormat="1" ht="15.75" x14ac:dyDescent="0.25">
      <c r="A41" s="45">
        <v>564</v>
      </c>
      <c r="B41" s="57">
        <v>100358576652</v>
      </c>
      <c r="C41" s="58" t="s">
        <v>104</v>
      </c>
      <c r="D41" s="86" t="s">
        <v>105</v>
      </c>
      <c r="E41" s="83">
        <v>30</v>
      </c>
      <c r="F41" s="112">
        <v>5500</v>
      </c>
      <c r="G41" s="112">
        <v>5500</v>
      </c>
      <c r="H41" s="61">
        <f t="shared" si="1"/>
        <v>660</v>
      </c>
      <c r="I41" s="21" t="e">
        <f>#REF!*12/100</f>
        <v>#REF!</v>
      </c>
    </row>
    <row r="42" spans="1:9" ht="28.5" customHeight="1" x14ac:dyDescent="0.25">
      <c r="A42" s="24"/>
      <c r="B42" s="25"/>
      <c r="C42" s="9"/>
      <c r="D42" s="31"/>
      <c r="E42" s="9"/>
      <c r="F42" s="43">
        <f>SUM(F3:F41)</f>
        <v>164212</v>
      </c>
      <c r="G42" s="43">
        <f>SUM(G3:G41)</f>
        <v>164212</v>
      </c>
      <c r="H42" s="43">
        <f>SUM(H3:H41)</f>
        <v>19705.439999999999</v>
      </c>
      <c r="I42" s="23"/>
    </row>
    <row r="43" spans="1:9" ht="17.25" x14ac:dyDescent="0.25">
      <c r="A43" s="24"/>
      <c r="B43" s="25"/>
      <c r="C43" s="26"/>
      <c r="D43" s="26"/>
      <c r="E43" s="27"/>
      <c r="F43" s="28"/>
      <c r="G43" s="29"/>
      <c r="H43" s="29"/>
      <c r="I43" s="23"/>
    </row>
    <row r="44" spans="1:9" x14ac:dyDescent="0.25">
      <c r="H44" s="35" t="s">
        <v>107</v>
      </c>
    </row>
    <row r="45" spans="1:9" x14ac:dyDescent="0.25">
      <c r="H45" s="36" t="s">
        <v>108</v>
      </c>
      <c r="I45" s="37"/>
    </row>
    <row r="46" spans="1:9" x14ac:dyDescent="0.25">
      <c r="H46" s="35" t="s">
        <v>109</v>
      </c>
    </row>
    <row r="47" spans="1:9" x14ac:dyDescent="0.25">
      <c r="H47" s="35" t="s">
        <v>110</v>
      </c>
      <c r="I47" s="38">
        <v>124974</v>
      </c>
    </row>
    <row r="48" spans="1:9" x14ac:dyDescent="0.25">
      <c r="H48" s="35" t="s">
        <v>111</v>
      </c>
    </row>
    <row r="49" spans="1:14" x14ac:dyDescent="0.25">
      <c r="F49" s="39"/>
      <c r="G49" s="39" t="e">
        <f>#REF!-I53</f>
        <v>#REF!</v>
      </c>
      <c r="H49" s="35" t="s">
        <v>112</v>
      </c>
      <c r="I49" s="38"/>
    </row>
    <row r="50" spans="1:14" x14ac:dyDescent="0.25">
      <c r="H50" s="35" t="s">
        <v>113</v>
      </c>
    </row>
    <row r="51" spans="1:14" x14ac:dyDescent="0.25">
      <c r="F51" s="39">
        <v>7244</v>
      </c>
      <c r="H51" s="35" t="s">
        <v>114</v>
      </c>
    </row>
    <row r="52" spans="1:14" x14ac:dyDescent="0.25">
      <c r="F52" s="39"/>
      <c r="H52" s="35" t="s">
        <v>115</v>
      </c>
      <c r="I52" s="22">
        <v>51879</v>
      </c>
    </row>
    <row r="53" spans="1:14" x14ac:dyDescent="0.25">
      <c r="G53" s="39"/>
      <c r="I53" s="22">
        <f>SUM(I44:I52)</f>
        <v>176853</v>
      </c>
    </row>
    <row r="54" spans="1:14" x14ac:dyDescent="0.25">
      <c r="F54" s="40"/>
      <c r="G54" s="40"/>
      <c r="I54" s="23"/>
    </row>
    <row r="55" spans="1:14" x14ac:dyDescent="0.25">
      <c r="F55" s="40"/>
      <c r="G55" s="41"/>
    </row>
    <row r="56" spans="1:14" x14ac:dyDescent="0.25">
      <c r="F56" s="40"/>
      <c r="G56" s="40"/>
      <c r="I56" s="23"/>
    </row>
    <row r="57" spans="1:14" ht="25.5" x14ac:dyDescent="0.25">
      <c r="A57" s="18" t="s">
        <v>106</v>
      </c>
      <c r="B57" s="20">
        <v>19250</v>
      </c>
      <c r="C57" s="20">
        <v>13960</v>
      </c>
      <c r="D57" s="20">
        <v>1800</v>
      </c>
      <c r="E57" s="30"/>
      <c r="F57" s="31"/>
      <c r="G57" s="31"/>
      <c r="H57" s="31"/>
      <c r="I57" s="32"/>
      <c r="J57" s="33"/>
      <c r="K57" s="40"/>
      <c r="L57" s="40"/>
      <c r="M57" s="35"/>
      <c r="N57" s="22"/>
    </row>
    <row r="59" spans="1:14" x14ac:dyDescent="0.25">
      <c r="E59" s="33">
        <v>42983</v>
      </c>
      <c r="F59" s="34">
        <v>17783</v>
      </c>
      <c r="G59" s="34">
        <f>E59-F59</f>
        <v>25200</v>
      </c>
    </row>
    <row r="60" spans="1:14" x14ac:dyDescent="0.25">
      <c r="G60" s="34">
        <v>18114</v>
      </c>
    </row>
    <row r="61" spans="1:14" x14ac:dyDescent="0.25">
      <c r="G61" s="34">
        <f>SUM(G59:G60)</f>
        <v>43314</v>
      </c>
      <c r="H61" s="35">
        <v>42728</v>
      </c>
      <c r="I61" s="22">
        <f>G61-H61</f>
        <v>586</v>
      </c>
    </row>
    <row r="65" spans="2:9" s="30" customFormat="1" x14ac:dyDescent="0.25">
      <c r="B65" s="31"/>
      <c r="C65" s="31"/>
      <c r="D65" s="32"/>
      <c r="E65" s="33"/>
      <c r="F65" s="34"/>
      <c r="G65" s="34"/>
      <c r="H65" s="35"/>
      <c r="I65" s="22"/>
    </row>
    <row r="96" spans="2:9" s="30" customFormat="1" x14ac:dyDescent="0.25">
      <c r="B96" s="31"/>
      <c r="C96" s="31"/>
      <c r="D96" s="32"/>
      <c r="E96" s="33"/>
      <c r="F96" s="34"/>
      <c r="G96" s="34"/>
      <c r="H96" s="35"/>
      <c r="I96" s="22"/>
    </row>
    <row r="151" spans="2:9" s="30" customFormat="1" x14ac:dyDescent="0.25">
      <c r="B151" s="31"/>
      <c r="C151" s="31"/>
      <c r="D151" s="32"/>
      <c r="E151" s="33"/>
      <c r="F151" s="34"/>
      <c r="G151" s="34"/>
      <c r="H151" s="35"/>
      <c r="I151" s="22"/>
    </row>
  </sheetData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4"/>
  <sheetViews>
    <sheetView workbookViewId="0">
      <selection activeCell="C44" sqref="C44"/>
    </sheetView>
  </sheetViews>
  <sheetFormatPr defaultRowHeight="18.75" x14ac:dyDescent="0.25"/>
  <cols>
    <col min="1" max="1" width="9.140625" style="30"/>
    <col min="2" max="2" width="19.8554687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5703125" style="35" bestFit="1" customWidth="1"/>
    <col min="9" max="9" width="9.140625" style="22"/>
    <col min="10" max="16384" width="9.140625" style="9"/>
  </cols>
  <sheetData>
    <row r="1" spans="1:9" x14ac:dyDescent="0.25">
      <c r="A1" s="1">
        <v>39600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>G3*12/100</f>
        <v>660</v>
      </c>
      <c r="I3" s="21">
        <f t="shared" ref="I3:I16" si="0">G3*12/100</f>
        <v>660</v>
      </c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5500</v>
      </c>
      <c r="G4" s="61">
        <v>5500</v>
      </c>
      <c r="H4" s="61">
        <f t="shared" ref="H4:H44" si="1">G4*12/100</f>
        <v>660</v>
      </c>
      <c r="I4" s="21">
        <f t="shared" si="0"/>
        <v>660</v>
      </c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2651</v>
      </c>
      <c r="G5" s="62">
        <v>2651</v>
      </c>
      <c r="H5" s="61">
        <f t="shared" si="1"/>
        <v>318.12</v>
      </c>
      <c r="I5" s="21">
        <f t="shared" si="0"/>
        <v>318.12</v>
      </c>
    </row>
    <row r="6" spans="1:9" s="19" customFormat="1" ht="25.5" x14ac:dyDescent="0.25">
      <c r="A6" s="45">
        <v>50</v>
      </c>
      <c r="B6" s="57">
        <v>100253724762</v>
      </c>
      <c r="C6" s="58" t="s">
        <v>15</v>
      </c>
      <c r="D6" s="64" t="s">
        <v>16</v>
      </c>
      <c r="E6" s="65">
        <v>30</v>
      </c>
      <c r="F6" s="64">
        <v>5500</v>
      </c>
      <c r="G6" s="64">
        <v>5500</v>
      </c>
      <c r="H6" s="61">
        <f t="shared" si="1"/>
        <v>660</v>
      </c>
      <c r="I6" s="21">
        <f t="shared" si="0"/>
        <v>660</v>
      </c>
    </row>
    <row r="7" spans="1:9" s="19" customFormat="1" ht="15.75" x14ac:dyDescent="0.25">
      <c r="A7" s="45">
        <v>82</v>
      </c>
      <c r="B7" s="57">
        <v>100337411384</v>
      </c>
      <c r="C7" s="58" t="s">
        <v>18</v>
      </c>
      <c r="D7" s="67" t="s">
        <v>18</v>
      </c>
      <c r="E7" s="65">
        <v>29</v>
      </c>
      <c r="F7" s="64">
        <v>2651</v>
      </c>
      <c r="G7" s="64">
        <v>2651</v>
      </c>
      <c r="H7" s="61">
        <f t="shared" si="1"/>
        <v>318.12</v>
      </c>
      <c r="I7" s="21">
        <f t="shared" si="0"/>
        <v>318.12</v>
      </c>
    </row>
    <row r="8" spans="1:9" s="19" customFormat="1" ht="15.75" x14ac:dyDescent="0.25">
      <c r="A8" s="45">
        <v>96</v>
      </c>
      <c r="B8" s="57">
        <v>100071591724</v>
      </c>
      <c r="C8" s="58" t="s">
        <v>21</v>
      </c>
      <c r="D8" s="65" t="s">
        <v>21</v>
      </c>
      <c r="E8" s="65">
        <v>30</v>
      </c>
      <c r="F8" s="64">
        <v>5500</v>
      </c>
      <c r="G8" s="64">
        <v>5500</v>
      </c>
      <c r="H8" s="61">
        <f t="shared" si="1"/>
        <v>660</v>
      </c>
      <c r="I8" s="21">
        <f t="shared" si="0"/>
        <v>660</v>
      </c>
    </row>
    <row r="9" spans="1:9" s="19" customFormat="1" ht="15.75" x14ac:dyDescent="0.25">
      <c r="A9" s="45">
        <v>112</v>
      </c>
      <c r="B9" s="57">
        <v>100353622159</v>
      </c>
      <c r="C9" s="58" t="s">
        <v>24</v>
      </c>
      <c r="D9" s="65" t="s">
        <v>25</v>
      </c>
      <c r="E9" s="48">
        <v>30</v>
      </c>
      <c r="F9" s="48">
        <v>5500</v>
      </c>
      <c r="G9" s="48">
        <v>5500</v>
      </c>
      <c r="H9" s="61">
        <f t="shared" si="1"/>
        <v>660</v>
      </c>
      <c r="I9" s="21">
        <f t="shared" si="0"/>
        <v>660</v>
      </c>
    </row>
    <row r="10" spans="1:9" s="19" customFormat="1" ht="15.75" x14ac:dyDescent="0.25">
      <c r="A10" s="45">
        <v>126</v>
      </c>
      <c r="B10" s="57">
        <v>100358535750</v>
      </c>
      <c r="C10" s="58" t="s">
        <v>26</v>
      </c>
      <c r="D10" s="51" t="s">
        <v>27</v>
      </c>
      <c r="E10" s="69">
        <v>30</v>
      </c>
      <c r="F10" s="69">
        <v>5500</v>
      </c>
      <c r="G10" s="69">
        <v>5500</v>
      </c>
      <c r="H10" s="61">
        <f t="shared" si="1"/>
        <v>660</v>
      </c>
      <c r="I10" s="21">
        <f t="shared" si="0"/>
        <v>660</v>
      </c>
    </row>
    <row r="11" spans="1:9" s="19" customFormat="1" ht="15.75" x14ac:dyDescent="0.25">
      <c r="A11" s="45">
        <v>134</v>
      </c>
      <c r="B11" s="57">
        <v>100084707366</v>
      </c>
      <c r="C11" s="58" t="s">
        <v>28</v>
      </c>
      <c r="D11" s="71" t="s">
        <v>28</v>
      </c>
      <c r="E11" s="48">
        <v>30</v>
      </c>
      <c r="F11" s="71">
        <v>1000</v>
      </c>
      <c r="G11" s="71">
        <v>1000</v>
      </c>
      <c r="H11" s="61">
        <f t="shared" si="1"/>
        <v>120</v>
      </c>
      <c r="I11" s="21">
        <f t="shared" si="0"/>
        <v>120</v>
      </c>
    </row>
    <row r="12" spans="1:9" s="19" customFormat="1" ht="15.75" x14ac:dyDescent="0.25">
      <c r="A12" s="45">
        <v>136</v>
      </c>
      <c r="B12" s="57">
        <v>100167059875</v>
      </c>
      <c r="C12" s="58" t="s">
        <v>29</v>
      </c>
      <c r="D12" s="65" t="s">
        <v>30</v>
      </c>
      <c r="E12" s="48">
        <v>30</v>
      </c>
      <c r="F12" s="49">
        <v>5500</v>
      </c>
      <c r="G12" s="49">
        <v>5500</v>
      </c>
      <c r="H12" s="61">
        <f t="shared" si="1"/>
        <v>660</v>
      </c>
      <c r="I12" s="21">
        <f t="shared" si="0"/>
        <v>660</v>
      </c>
    </row>
    <row r="13" spans="1:9" s="19" customFormat="1" ht="15.75" x14ac:dyDescent="0.25">
      <c r="A13" s="45">
        <v>149</v>
      </c>
      <c r="B13" s="57">
        <v>100333985226</v>
      </c>
      <c r="C13" s="58" t="s">
        <v>31</v>
      </c>
      <c r="D13" s="51" t="s">
        <v>32</v>
      </c>
      <c r="E13" s="72">
        <v>30</v>
      </c>
      <c r="F13" s="72">
        <v>1000</v>
      </c>
      <c r="G13" s="72">
        <v>1000</v>
      </c>
      <c r="H13" s="61">
        <f t="shared" si="1"/>
        <v>120</v>
      </c>
      <c r="I13" s="21">
        <f t="shared" si="0"/>
        <v>120</v>
      </c>
    </row>
    <row r="14" spans="1:9" s="19" customFormat="1" ht="15.75" x14ac:dyDescent="0.25">
      <c r="A14" s="45">
        <v>191</v>
      </c>
      <c r="B14" s="57">
        <v>100094359606</v>
      </c>
      <c r="C14" s="58" t="s">
        <v>33</v>
      </c>
      <c r="D14" s="75" t="s">
        <v>33</v>
      </c>
      <c r="E14" s="75">
        <v>30</v>
      </c>
      <c r="F14" s="75">
        <v>3181</v>
      </c>
      <c r="G14" s="75">
        <v>3181</v>
      </c>
      <c r="H14" s="61">
        <f t="shared" si="1"/>
        <v>381.72</v>
      </c>
      <c r="I14" s="21">
        <f t="shared" si="0"/>
        <v>381.72</v>
      </c>
    </row>
    <row r="15" spans="1:9" s="19" customFormat="1" ht="15.75" x14ac:dyDescent="0.25">
      <c r="A15" s="45">
        <v>195</v>
      </c>
      <c r="B15" s="57">
        <v>100235466823</v>
      </c>
      <c r="C15" s="58" t="s">
        <v>34</v>
      </c>
      <c r="D15" s="75" t="s">
        <v>35</v>
      </c>
      <c r="E15" s="75">
        <v>30</v>
      </c>
      <c r="F15" s="75">
        <v>5500</v>
      </c>
      <c r="G15" s="75">
        <v>5500</v>
      </c>
      <c r="H15" s="61">
        <f t="shared" si="1"/>
        <v>660</v>
      </c>
      <c r="I15" s="21">
        <f t="shared" si="0"/>
        <v>660</v>
      </c>
    </row>
    <row r="16" spans="1:9" s="19" customFormat="1" ht="30" x14ac:dyDescent="0.25">
      <c r="A16" s="45">
        <v>204</v>
      </c>
      <c r="B16" s="57">
        <v>100232169483</v>
      </c>
      <c r="C16" s="58" t="s">
        <v>37</v>
      </c>
      <c r="D16" s="75" t="s">
        <v>38</v>
      </c>
      <c r="E16" s="50">
        <v>30</v>
      </c>
      <c r="F16" s="50">
        <v>5500</v>
      </c>
      <c r="G16" s="50">
        <v>5500</v>
      </c>
      <c r="H16" s="61">
        <f t="shared" si="1"/>
        <v>660</v>
      </c>
      <c r="I16" s="21">
        <f t="shared" si="0"/>
        <v>660</v>
      </c>
    </row>
    <row r="17" spans="1:9" s="19" customFormat="1" ht="15.75" x14ac:dyDescent="0.25">
      <c r="A17" s="45">
        <v>224</v>
      </c>
      <c r="B17" s="57">
        <v>100112371371</v>
      </c>
      <c r="C17" s="58" t="s">
        <v>39</v>
      </c>
      <c r="D17" s="77" t="s">
        <v>40</v>
      </c>
      <c r="E17" s="75">
        <v>30</v>
      </c>
      <c r="F17" s="77">
        <v>5500</v>
      </c>
      <c r="G17" s="77">
        <v>5500</v>
      </c>
      <c r="H17" s="61">
        <f t="shared" si="1"/>
        <v>660</v>
      </c>
      <c r="I17" s="21">
        <f>G17*12/100</f>
        <v>660</v>
      </c>
    </row>
    <row r="18" spans="1:9" s="19" customFormat="1" ht="15.75" x14ac:dyDescent="0.25">
      <c r="A18" s="45">
        <v>252</v>
      </c>
      <c r="B18" s="57">
        <v>100373345016</v>
      </c>
      <c r="C18" s="58" t="s">
        <v>43</v>
      </c>
      <c r="D18" s="79" t="s">
        <v>44</v>
      </c>
      <c r="E18" s="77">
        <v>30</v>
      </c>
      <c r="F18" s="80">
        <v>5500</v>
      </c>
      <c r="G18" s="80">
        <v>5500</v>
      </c>
      <c r="H18" s="61">
        <f t="shared" si="1"/>
        <v>660</v>
      </c>
      <c r="I18" s="21">
        <f>G18*12/100</f>
        <v>660</v>
      </c>
    </row>
    <row r="19" spans="1:9" s="19" customFormat="1" ht="15.75" x14ac:dyDescent="0.25">
      <c r="A19" s="45">
        <v>261</v>
      </c>
      <c r="B19" s="57">
        <v>100222141431</v>
      </c>
      <c r="C19" s="58" t="s">
        <v>45</v>
      </c>
      <c r="D19" s="50" t="s">
        <v>45</v>
      </c>
      <c r="E19" s="50">
        <v>30</v>
      </c>
      <c r="F19" s="50">
        <v>2602</v>
      </c>
      <c r="G19" s="50">
        <v>2602</v>
      </c>
      <c r="H19" s="61">
        <f t="shared" si="1"/>
        <v>312.24</v>
      </c>
      <c r="I19" s="21">
        <f>G19*12/100</f>
        <v>312.24</v>
      </c>
    </row>
    <row r="20" spans="1:9" s="19" customFormat="1" ht="15.75" x14ac:dyDescent="0.25">
      <c r="A20" s="45">
        <v>269</v>
      </c>
      <c r="B20" s="57">
        <v>100353847332</v>
      </c>
      <c r="C20" s="58" t="s">
        <v>46</v>
      </c>
      <c r="D20" s="83" t="s">
        <v>47</v>
      </c>
      <c r="E20" s="83">
        <v>30</v>
      </c>
      <c r="F20" s="84">
        <v>5500</v>
      </c>
      <c r="G20" s="84">
        <v>5500</v>
      </c>
      <c r="H20" s="61">
        <f t="shared" si="1"/>
        <v>660</v>
      </c>
      <c r="I20" s="21">
        <f t="shared" ref="I20:I41" si="2">G20*12/100</f>
        <v>660</v>
      </c>
    </row>
    <row r="21" spans="1:9" s="19" customFormat="1" ht="15.75" x14ac:dyDescent="0.25">
      <c r="A21" s="45">
        <v>324</v>
      </c>
      <c r="B21" s="57">
        <v>100366458827</v>
      </c>
      <c r="C21" s="58" t="s">
        <v>51</v>
      </c>
      <c r="D21" s="87" t="s">
        <v>52</v>
      </c>
      <c r="E21" s="88">
        <v>30</v>
      </c>
      <c r="F21" s="89">
        <v>5500</v>
      </c>
      <c r="G21" s="89">
        <v>5500</v>
      </c>
      <c r="H21" s="61">
        <f t="shared" si="1"/>
        <v>660</v>
      </c>
      <c r="I21" s="21">
        <f t="shared" si="2"/>
        <v>660</v>
      </c>
    </row>
    <row r="22" spans="1:9" s="19" customFormat="1" ht="26.25" x14ac:dyDescent="0.25">
      <c r="A22" s="45">
        <v>326</v>
      </c>
      <c r="B22" s="57">
        <v>100353855918</v>
      </c>
      <c r="C22" s="58" t="s">
        <v>53</v>
      </c>
      <c r="D22" s="90" t="s">
        <v>54</v>
      </c>
      <c r="E22" s="88">
        <v>30</v>
      </c>
      <c r="F22" s="89">
        <v>5500</v>
      </c>
      <c r="G22" s="89">
        <v>5500</v>
      </c>
      <c r="H22" s="61">
        <f t="shared" si="1"/>
        <v>660</v>
      </c>
      <c r="I22" s="21">
        <f t="shared" si="2"/>
        <v>660</v>
      </c>
    </row>
    <row r="23" spans="1:9" s="19" customFormat="1" ht="15.75" x14ac:dyDescent="0.25">
      <c r="A23" s="45">
        <v>337</v>
      </c>
      <c r="B23" s="57">
        <v>100353650100</v>
      </c>
      <c r="C23" s="58" t="s">
        <v>57</v>
      </c>
      <c r="D23" s="92" t="s">
        <v>58</v>
      </c>
      <c r="E23" s="88">
        <v>30</v>
      </c>
      <c r="F23" s="89">
        <v>5500</v>
      </c>
      <c r="G23" s="89">
        <v>5500</v>
      </c>
      <c r="H23" s="61">
        <f t="shared" si="1"/>
        <v>660</v>
      </c>
      <c r="I23" s="21">
        <f t="shared" si="2"/>
        <v>660</v>
      </c>
    </row>
    <row r="24" spans="1:9" s="19" customFormat="1" ht="15.75" x14ac:dyDescent="0.25">
      <c r="A24" s="45">
        <v>372</v>
      </c>
      <c r="B24" s="57">
        <v>100091836225</v>
      </c>
      <c r="C24" s="58" t="s">
        <v>63</v>
      </c>
      <c r="D24" s="95" t="s">
        <v>64</v>
      </c>
      <c r="E24" s="83">
        <v>30</v>
      </c>
      <c r="F24" s="96">
        <v>5500</v>
      </c>
      <c r="G24" s="96">
        <v>5500</v>
      </c>
      <c r="H24" s="61">
        <f t="shared" si="1"/>
        <v>660</v>
      </c>
      <c r="I24" s="21">
        <f t="shared" si="2"/>
        <v>660</v>
      </c>
    </row>
    <row r="25" spans="1:9" s="19" customFormat="1" ht="15.75" x14ac:dyDescent="0.25">
      <c r="A25" s="45">
        <v>378</v>
      </c>
      <c r="B25" s="57">
        <v>100283282515</v>
      </c>
      <c r="C25" s="58" t="s">
        <v>65</v>
      </c>
      <c r="D25" s="95" t="s">
        <v>65</v>
      </c>
      <c r="E25" s="83">
        <v>30</v>
      </c>
      <c r="F25" s="89">
        <v>5500</v>
      </c>
      <c r="G25" s="89">
        <v>5500</v>
      </c>
      <c r="H25" s="61">
        <f t="shared" si="1"/>
        <v>660</v>
      </c>
      <c r="I25" s="21">
        <f t="shared" si="2"/>
        <v>660</v>
      </c>
    </row>
    <row r="26" spans="1:9" s="19" customFormat="1" ht="15.75" x14ac:dyDescent="0.25">
      <c r="A26" s="45">
        <v>390</v>
      </c>
      <c r="B26" s="57">
        <v>100353938598</v>
      </c>
      <c r="C26" s="58" t="s">
        <v>66</v>
      </c>
      <c r="D26" s="92" t="s">
        <v>67</v>
      </c>
      <c r="E26" s="83">
        <v>30</v>
      </c>
      <c r="F26" s="88">
        <v>5500</v>
      </c>
      <c r="G26" s="88">
        <v>5500</v>
      </c>
      <c r="H26" s="61">
        <f t="shared" si="1"/>
        <v>660</v>
      </c>
      <c r="I26" s="21">
        <f t="shared" si="2"/>
        <v>660</v>
      </c>
    </row>
    <row r="27" spans="1:9" s="19" customFormat="1" ht="15.75" x14ac:dyDescent="0.25">
      <c r="A27" s="45">
        <v>400</v>
      </c>
      <c r="B27" s="57">
        <v>100358397938</v>
      </c>
      <c r="C27" s="58" t="s">
        <v>70</v>
      </c>
      <c r="D27" s="98" t="s">
        <v>71</v>
      </c>
      <c r="E27" s="83">
        <v>30</v>
      </c>
      <c r="F27" s="88">
        <v>5500</v>
      </c>
      <c r="G27" s="88">
        <v>5500</v>
      </c>
      <c r="H27" s="61">
        <f t="shared" si="1"/>
        <v>660</v>
      </c>
      <c r="I27" s="21">
        <f t="shared" si="2"/>
        <v>660</v>
      </c>
    </row>
    <row r="28" spans="1:9" s="19" customFormat="1" ht="16.5" x14ac:dyDescent="0.25">
      <c r="A28" s="45">
        <v>434</v>
      </c>
      <c r="B28" s="57">
        <v>100353735967</v>
      </c>
      <c r="C28" s="58" t="s">
        <v>75</v>
      </c>
      <c r="D28" s="100" t="s">
        <v>76</v>
      </c>
      <c r="E28" s="83">
        <v>30</v>
      </c>
      <c r="F28" s="54">
        <v>5500</v>
      </c>
      <c r="G28" s="54">
        <v>5500</v>
      </c>
      <c r="H28" s="61">
        <f t="shared" si="1"/>
        <v>660</v>
      </c>
      <c r="I28" s="21">
        <f t="shared" si="2"/>
        <v>660</v>
      </c>
    </row>
    <row r="29" spans="1:9" s="19" customFormat="1" ht="16.5" x14ac:dyDescent="0.25">
      <c r="A29" s="45">
        <v>435</v>
      </c>
      <c r="B29" s="57">
        <v>100358401923</v>
      </c>
      <c r="C29" s="58" t="s">
        <v>77</v>
      </c>
      <c r="D29" s="100" t="s">
        <v>78</v>
      </c>
      <c r="E29" s="83">
        <v>30</v>
      </c>
      <c r="F29" s="54">
        <v>1000</v>
      </c>
      <c r="G29" s="54">
        <v>1000</v>
      </c>
      <c r="H29" s="61">
        <f t="shared" si="1"/>
        <v>120</v>
      </c>
      <c r="I29" s="21">
        <f t="shared" si="2"/>
        <v>120</v>
      </c>
    </row>
    <row r="30" spans="1:9" s="19" customFormat="1" ht="18" x14ac:dyDescent="0.25">
      <c r="A30" s="45">
        <v>443</v>
      </c>
      <c r="B30" s="57">
        <v>100205552698</v>
      </c>
      <c r="C30" s="58" t="s">
        <v>79</v>
      </c>
      <c r="D30" s="101" t="s">
        <v>80</v>
      </c>
      <c r="E30" s="83">
        <v>30</v>
      </c>
      <c r="F30" s="102">
        <v>5500</v>
      </c>
      <c r="G30" s="102">
        <v>5500</v>
      </c>
      <c r="H30" s="61">
        <f t="shared" si="1"/>
        <v>660</v>
      </c>
      <c r="I30" s="21">
        <f t="shared" si="2"/>
        <v>660</v>
      </c>
    </row>
    <row r="31" spans="1:9" s="19" customFormat="1" ht="33" x14ac:dyDescent="0.25">
      <c r="A31" s="45">
        <v>447</v>
      </c>
      <c r="B31" s="57">
        <v>100134159284</v>
      </c>
      <c r="C31" s="58" t="s">
        <v>81</v>
      </c>
      <c r="D31" s="103" t="s">
        <v>81</v>
      </c>
      <c r="E31" s="83">
        <v>30</v>
      </c>
      <c r="F31" s="103">
        <v>5500</v>
      </c>
      <c r="G31" s="103">
        <v>5500</v>
      </c>
      <c r="H31" s="61">
        <f t="shared" si="1"/>
        <v>660</v>
      </c>
      <c r="I31" s="21">
        <f t="shared" si="2"/>
        <v>660</v>
      </c>
    </row>
    <row r="32" spans="1:9" s="19" customFormat="1" ht="15.75" x14ac:dyDescent="0.25">
      <c r="A32" s="45">
        <v>451</v>
      </c>
      <c r="B32" s="57">
        <v>100162007981</v>
      </c>
      <c r="C32" s="58" t="s">
        <v>82</v>
      </c>
      <c r="D32" s="51" t="s">
        <v>83</v>
      </c>
      <c r="E32" s="83">
        <v>30</v>
      </c>
      <c r="F32" s="104">
        <v>2651</v>
      </c>
      <c r="G32" s="104">
        <v>2651</v>
      </c>
      <c r="H32" s="61">
        <f t="shared" si="1"/>
        <v>318.12</v>
      </c>
      <c r="I32" s="21">
        <f t="shared" si="2"/>
        <v>318.12</v>
      </c>
    </row>
    <row r="33" spans="1:9" s="19" customFormat="1" ht="18" x14ac:dyDescent="0.25">
      <c r="A33" s="45">
        <v>466</v>
      </c>
      <c r="B33" s="57">
        <v>100232175087</v>
      </c>
      <c r="C33" s="58" t="s">
        <v>85</v>
      </c>
      <c r="D33" s="106" t="s">
        <v>86</v>
      </c>
      <c r="E33" s="83">
        <v>30</v>
      </c>
      <c r="F33" s="107">
        <v>2651</v>
      </c>
      <c r="G33" s="107">
        <v>2651</v>
      </c>
      <c r="H33" s="61">
        <f t="shared" si="1"/>
        <v>318.12</v>
      </c>
      <c r="I33" s="21">
        <f t="shared" si="2"/>
        <v>318.12</v>
      </c>
    </row>
    <row r="34" spans="1:9" s="19" customFormat="1" ht="15.75" x14ac:dyDescent="0.25">
      <c r="A34" s="45">
        <v>481</v>
      </c>
      <c r="B34" s="57">
        <v>100358411358</v>
      </c>
      <c r="C34" s="58" t="s">
        <v>88</v>
      </c>
      <c r="D34" s="119" t="s">
        <v>87</v>
      </c>
      <c r="E34" s="83">
        <v>30</v>
      </c>
      <c r="F34" s="109">
        <v>5500</v>
      </c>
      <c r="G34" s="109">
        <v>5500</v>
      </c>
      <c r="H34" s="61">
        <f t="shared" si="1"/>
        <v>660</v>
      </c>
      <c r="I34" s="21">
        <f t="shared" si="2"/>
        <v>660</v>
      </c>
    </row>
    <row r="35" spans="1:9" s="19" customFormat="1" ht="15.75" x14ac:dyDescent="0.25">
      <c r="A35" s="45">
        <v>482</v>
      </c>
      <c r="B35" s="57">
        <v>100353504634</v>
      </c>
      <c r="C35" s="58" t="s">
        <v>90</v>
      </c>
      <c r="D35" s="119" t="s">
        <v>89</v>
      </c>
      <c r="E35" s="83">
        <v>30</v>
      </c>
      <c r="F35" s="109">
        <v>5500</v>
      </c>
      <c r="G35" s="109">
        <v>5500</v>
      </c>
      <c r="H35" s="61">
        <f t="shared" si="1"/>
        <v>660</v>
      </c>
      <c r="I35" s="21">
        <f t="shared" si="2"/>
        <v>660</v>
      </c>
    </row>
    <row r="36" spans="1:9" s="19" customFormat="1" ht="15.75" x14ac:dyDescent="0.25">
      <c r="A36" s="45">
        <v>483</v>
      </c>
      <c r="B36" s="57">
        <v>100353780044</v>
      </c>
      <c r="C36" s="58" t="s">
        <v>92</v>
      </c>
      <c r="D36" s="119" t="s">
        <v>91</v>
      </c>
      <c r="E36" s="83">
        <v>30</v>
      </c>
      <c r="F36" s="109">
        <v>5500</v>
      </c>
      <c r="G36" s="109">
        <v>5500</v>
      </c>
      <c r="H36" s="61">
        <f t="shared" si="1"/>
        <v>660</v>
      </c>
      <c r="I36" s="21">
        <f t="shared" si="2"/>
        <v>660</v>
      </c>
    </row>
    <row r="37" spans="1:9" s="19" customFormat="1" ht="15.75" x14ac:dyDescent="0.25">
      <c r="A37" s="45">
        <v>485</v>
      </c>
      <c r="B37" s="57">
        <v>100236190637</v>
      </c>
      <c r="C37" s="58" t="s">
        <v>94</v>
      </c>
      <c r="D37" s="119" t="s">
        <v>93</v>
      </c>
      <c r="E37" s="83">
        <v>30</v>
      </c>
      <c r="F37" s="109">
        <v>5500</v>
      </c>
      <c r="G37" s="109">
        <v>5500</v>
      </c>
      <c r="H37" s="61">
        <f t="shared" si="1"/>
        <v>660</v>
      </c>
      <c r="I37" s="21">
        <f t="shared" si="2"/>
        <v>660</v>
      </c>
    </row>
    <row r="38" spans="1:9" s="42" customFormat="1" ht="15.75" x14ac:dyDescent="0.25">
      <c r="A38" s="45">
        <v>487</v>
      </c>
      <c r="B38" s="57">
        <v>100358418267</v>
      </c>
      <c r="C38" s="58" t="s">
        <v>96</v>
      </c>
      <c r="D38" s="119" t="s">
        <v>95</v>
      </c>
      <c r="E38" s="83">
        <v>30</v>
      </c>
      <c r="F38" s="109">
        <v>2859</v>
      </c>
      <c r="G38" s="109">
        <v>2859</v>
      </c>
      <c r="H38" s="61">
        <f t="shared" si="1"/>
        <v>343.08</v>
      </c>
      <c r="I38" s="21">
        <f t="shared" si="2"/>
        <v>343.08</v>
      </c>
    </row>
    <row r="39" spans="1:9" s="19" customFormat="1" ht="15.75" x14ac:dyDescent="0.25">
      <c r="A39" s="45">
        <v>491</v>
      </c>
      <c r="B39" s="57">
        <v>100353509071</v>
      </c>
      <c r="C39" s="58" t="s">
        <v>97</v>
      </c>
      <c r="D39" s="58" t="s">
        <v>97</v>
      </c>
      <c r="E39" s="83">
        <v>30</v>
      </c>
      <c r="F39" s="110">
        <v>2651</v>
      </c>
      <c r="G39" s="110">
        <v>2651</v>
      </c>
      <c r="H39" s="61">
        <f t="shared" si="1"/>
        <v>318.12</v>
      </c>
      <c r="I39" s="21">
        <f t="shared" si="2"/>
        <v>318.12</v>
      </c>
    </row>
    <row r="40" spans="1:9" s="19" customFormat="1" ht="15.75" x14ac:dyDescent="0.25">
      <c r="A40" s="45">
        <v>492</v>
      </c>
      <c r="B40" s="57">
        <v>100353508759</v>
      </c>
      <c r="C40" s="58" t="s">
        <v>98</v>
      </c>
      <c r="D40" s="58" t="s">
        <v>98</v>
      </c>
      <c r="E40" s="83">
        <v>30</v>
      </c>
      <c r="F40" s="110">
        <v>2651</v>
      </c>
      <c r="G40" s="110">
        <v>2651</v>
      </c>
      <c r="H40" s="61">
        <f t="shared" si="1"/>
        <v>318.12</v>
      </c>
      <c r="I40" s="21">
        <f t="shared" si="2"/>
        <v>318.12</v>
      </c>
    </row>
    <row r="41" spans="1:9" s="19" customFormat="1" ht="15.75" x14ac:dyDescent="0.25">
      <c r="A41" s="45">
        <v>493</v>
      </c>
      <c r="B41" s="57">
        <v>100353509419</v>
      </c>
      <c r="C41" s="58" t="s">
        <v>99</v>
      </c>
      <c r="D41" s="58" t="s">
        <v>99</v>
      </c>
      <c r="E41" s="83">
        <v>30</v>
      </c>
      <c r="F41" s="110">
        <v>2651</v>
      </c>
      <c r="G41" s="110">
        <v>2651</v>
      </c>
      <c r="H41" s="61">
        <f t="shared" si="1"/>
        <v>318.12</v>
      </c>
      <c r="I41" s="21">
        <f t="shared" si="2"/>
        <v>318.12</v>
      </c>
    </row>
    <row r="42" spans="1:9" s="19" customFormat="1" ht="15.75" x14ac:dyDescent="0.25">
      <c r="A42" s="45">
        <v>496</v>
      </c>
      <c r="B42" s="57">
        <v>100353505607</v>
      </c>
      <c r="C42" s="58" t="s">
        <v>100</v>
      </c>
      <c r="D42" s="58" t="s">
        <v>100</v>
      </c>
      <c r="E42" s="83">
        <v>30</v>
      </c>
      <c r="F42" s="110">
        <v>2000</v>
      </c>
      <c r="G42" s="110">
        <v>2000</v>
      </c>
      <c r="H42" s="61">
        <f t="shared" si="1"/>
        <v>240</v>
      </c>
      <c r="I42" s="21">
        <f>G42*12/100</f>
        <v>240</v>
      </c>
    </row>
    <row r="43" spans="1:9" s="19" customFormat="1" ht="15.75" x14ac:dyDescent="0.25">
      <c r="A43" s="45">
        <v>498</v>
      </c>
      <c r="B43" s="57">
        <v>100353509092</v>
      </c>
      <c r="C43" s="58" t="s">
        <v>101</v>
      </c>
      <c r="D43" s="58" t="s">
        <v>101</v>
      </c>
      <c r="E43" s="83">
        <v>30</v>
      </c>
      <c r="F43" s="110">
        <v>2651</v>
      </c>
      <c r="G43" s="110">
        <v>2651</v>
      </c>
      <c r="H43" s="61">
        <f t="shared" si="1"/>
        <v>318.12</v>
      </c>
      <c r="I43" s="21">
        <f>G43*12/100</f>
        <v>318.12</v>
      </c>
    </row>
    <row r="44" spans="1:9" s="19" customFormat="1" ht="15.75" x14ac:dyDescent="0.25">
      <c r="A44" s="45">
        <v>564</v>
      </c>
      <c r="B44" s="57">
        <v>100358576652</v>
      </c>
      <c r="C44" s="58" t="s">
        <v>104</v>
      </c>
      <c r="D44" s="86" t="s">
        <v>105</v>
      </c>
      <c r="E44" s="83">
        <v>30</v>
      </c>
      <c r="F44" s="112">
        <v>5500</v>
      </c>
      <c r="G44" s="112">
        <v>5500</v>
      </c>
      <c r="H44" s="61">
        <f t="shared" si="1"/>
        <v>660</v>
      </c>
      <c r="I44" s="21" t="e">
        <f>#REF!*12/100</f>
        <v>#REF!</v>
      </c>
    </row>
    <row r="45" spans="1:9" ht="15" x14ac:dyDescent="0.25">
      <c r="A45" s="24"/>
      <c r="B45" s="25"/>
      <c r="C45" s="9"/>
      <c r="D45" s="31"/>
      <c r="E45" s="9"/>
      <c r="F45" s="9"/>
      <c r="G45" s="121">
        <f>SUM(G3:G44)</f>
        <v>183350</v>
      </c>
      <c r="H45" s="9">
        <f>SUM(H3:H44)</f>
        <v>22001.999999999996</v>
      </c>
      <c r="I45" s="23"/>
    </row>
    <row r="46" spans="1:9" ht="17.25" x14ac:dyDescent="0.25">
      <c r="A46" s="24"/>
      <c r="B46" s="25"/>
      <c r="C46" s="26"/>
      <c r="D46" s="26"/>
      <c r="E46" s="27"/>
      <c r="F46" s="28"/>
      <c r="G46" s="29"/>
      <c r="H46" s="29"/>
      <c r="I46" s="23"/>
    </row>
    <row r="47" spans="1:9" x14ac:dyDescent="0.25">
      <c r="H47" s="35" t="s">
        <v>107</v>
      </c>
    </row>
    <row r="48" spans="1:9" x14ac:dyDescent="0.25">
      <c r="H48" s="36" t="s">
        <v>108</v>
      </c>
      <c r="I48" s="37"/>
    </row>
    <row r="49" spans="1:14" x14ac:dyDescent="0.25">
      <c r="H49" s="35" t="s">
        <v>109</v>
      </c>
    </row>
    <row r="50" spans="1:14" x14ac:dyDescent="0.25">
      <c r="H50" s="35" t="s">
        <v>110</v>
      </c>
      <c r="I50" s="38">
        <v>124974</v>
      </c>
    </row>
    <row r="51" spans="1:14" x14ac:dyDescent="0.25">
      <c r="H51" s="35" t="s">
        <v>111</v>
      </c>
    </row>
    <row r="52" spans="1:14" x14ac:dyDescent="0.25">
      <c r="F52" s="39"/>
      <c r="G52" s="39" t="e">
        <f>#REF!-I56</f>
        <v>#REF!</v>
      </c>
      <c r="H52" s="35" t="s">
        <v>112</v>
      </c>
      <c r="I52" s="38"/>
    </row>
    <row r="53" spans="1:14" x14ac:dyDescent="0.25">
      <c r="H53" s="35" t="s">
        <v>113</v>
      </c>
    </row>
    <row r="54" spans="1:14" x14ac:dyDescent="0.25">
      <c r="F54" s="39">
        <v>7244</v>
      </c>
      <c r="H54" s="35" t="s">
        <v>114</v>
      </c>
    </row>
    <row r="55" spans="1:14" x14ac:dyDescent="0.25">
      <c r="F55" s="39"/>
      <c r="H55" s="35" t="s">
        <v>115</v>
      </c>
      <c r="I55" s="22">
        <v>51879</v>
      </c>
    </row>
    <row r="56" spans="1:14" x14ac:dyDescent="0.25">
      <c r="G56" s="39"/>
      <c r="I56" s="22">
        <f>SUM(I47:I55)</f>
        <v>176853</v>
      </c>
    </row>
    <row r="57" spans="1:14" x14ac:dyDescent="0.25">
      <c r="F57" s="40"/>
      <c r="G57" s="40"/>
      <c r="I57" s="23"/>
    </row>
    <row r="58" spans="1:14" x14ac:dyDescent="0.25">
      <c r="F58" s="40"/>
      <c r="G58" s="41"/>
    </row>
    <row r="59" spans="1:14" x14ac:dyDescent="0.25">
      <c r="F59" s="40"/>
      <c r="G59" s="40"/>
      <c r="I59" s="23"/>
    </row>
    <row r="60" spans="1:14" ht="25.5" x14ac:dyDescent="0.25">
      <c r="A60" s="18" t="s">
        <v>106</v>
      </c>
      <c r="B60" s="20">
        <v>19250</v>
      </c>
      <c r="C60" s="20">
        <v>13960</v>
      </c>
      <c r="D60" s="20">
        <v>1800</v>
      </c>
      <c r="E60" s="30"/>
      <c r="F60" s="31"/>
      <c r="G60" s="31"/>
      <c r="H60" s="31"/>
      <c r="I60" s="32"/>
      <c r="J60" s="33"/>
      <c r="K60" s="40"/>
      <c r="L60" s="40"/>
      <c r="M60" s="35"/>
      <c r="N60" s="22"/>
    </row>
    <row r="62" spans="1:14" x14ac:dyDescent="0.25">
      <c r="E62" s="33">
        <v>42983</v>
      </c>
      <c r="F62" s="34">
        <v>17783</v>
      </c>
      <c r="G62" s="34">
        <f>E62-F62</f>
        <v>25200</v>
      </c>
    </row>
    <row r="63" spans="1:14" x14ac:dyDescent="0.25">
      <c r="G63" s="34">
        <v>18114</v>
      </c>
    </row>
    <row r="64" spans="1:14" x14ac:dyDescent="0.25">
      <c r="G64" s="34">
        <f>SUM(G62:G63)</f>
        <v>43314</v>
      </c>
      <c r="H64" s="35">
        <v>42728</v>
      </c>
      <c r="I64" s="22">
        <f>G64-H64</f>
        <v>586</v>
      </c>
    </row>
    <row r="68" spans="2:9" s="30" customFormat="1" x14ac:dyDescent="0.25">
      <c r="B68" s="31"/>
      <c r="C68" s="31"/>
      <c r="D68" s="32"/>
      <c r="E68" s="33"/>
      <c r="F68" s="34"/>
      <c r="G68" s="34"/>
      <c r="H68" s="35"/>
      <c r="I68" s="22"/>
    </row>
    <row r="99" spans="2:9" s="30" customFormat="1" x14ac:dyDescent="0.25">
      <c r="B99" s="31"/>
      <c r="C99" s="31"/>
      <c r="D99" s="32"/>
      <c r="E99" s="33"/>
      <c r="F99" s="34"/>
      <c r="G99" s="34"/>
      <c r="H99" s="35"/>
      <c r="I99" s="22"/>
    </row>
    <row r="154" spans="2:9" s="30" customFormat="1" x14ac:dyDescent="0.25">
      <c r="B154" s="31"/>
      <c r="C154" s="31"/>
      <c r="D154" s="32"/>
      <c r="E154" s="33"/>
      <c r="F154" s="34"/>
      <c r="G154" s="34"/>
      <c r="H154" s="35"/>
      <c r="I154" s="22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workbookViewId="0">
      <selection activeCell="C46" sqref="C46"/>
    </sheetView>
  </sheetViews>
  <sheetFormatPr defaultRowHeight="18.75" x14ac:dyDescent="0.25"/>
  <cols>
    <col min="1" max="1" width="9.140625" style="30"/>
    <col min="2" max="2" width="19.8554687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5703125" style="35" bestFit="1" customWidth="1"/>
    <col min="9" max="9" width="9.140625" style="22"/>
    <col min="10" max="16384" width="9.140625" style="9"/>
  </cols>
  <sheetData>
    <row r="1" spans="1:9" x14ac:dyDescent="0.25">
      <c r="A1" s="1">
        <v>39630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>G3*12/100</f>
        <v>660</v>
      </c>
      <c r="I3" s="21">
        <f t="shared" ref="I3:I16" si="0">G3*12/100</f>
        <v>660</v>
      </c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5500</v>
      </c>
      <c r="G4" s="61">
        <v>5500</v>
      </c>
      <c r="H4" s="61">
        <f t="shared" ref="H4:H45" si="1">G4*12/100</f>
        <v>660</v>
      </c>
      <c r="I4" s="21">
        <f t="shared" si="0"/>
        <v>660</v>
      </c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2651</v>
      </c>
      <c r="G5" s="62">
        <v>2651</v>
      </c>
      <c r="H5" s="61">
        <f t="shared" si="1"/>
        <v>318.12</v>
      </c>
      <c r="I5" s="21">
        <f t="shared" si="0"/>
        <v>318.12</v>
      </c>
    </row>
    <row r="6" spans="1:9" s="19" customFormat="1" ht="25.5" x14ac:dyDescent="0.25">
      <c r="A6" s="45">
        <v>50</v>
      </c>
      <c r="B6" s="57">
        <v>100253724762</v>
      </c>
      <c r="C6" s="58" t="s">
        <v>15</v>
      </c>
      <c r="D6" s="64" t="s">
        <v>16</v>
      </c>
      <c r="E6" s="65">
        <v>30</v>
      </c>
      <c r="F6" s="64">
        <v>5500</v>
      </c>
      <c r="G6" s="64">
        <v>5500</v>
      </c>
      <c r="H6" s="61">
        <f t="shared" si="1"/>
        <v>660</v>
      </c>
      <c r="I6" s="21">
        <f t="shared" si="0"/>
        <v>660</v>
      </c>
    </row>
    <row r="7" spans="1:9" s="19" customFormat="1" ht="15.75" x14ac:dyDescent="0.25">
      <c r="A7" s="45">
        <v>82</v>
      </c>
      <c r="B7" s="57">
        <v>100337411384</v>
      </c>
      <c r="C7" s="58" t="s">
        <v>18</v>
      </c>
      <c r="D7" s="67" t="s">
        <v>18</v>
      </c>
      <c r="E7" s="65">
        <v>29</v>
      </c>
      <c r="F7" s="64">
        <v>2651</v>
      </c>
      <c r="G7" s="64">
        <v>2651</v>
      </c>
      <c r="H7" s="61">
        <f t="shared" si="1"/>
        <v>318.12</v>
      </c>
      <c r="I7" s="21">
        <f t="shared" si="0"/>
        <v>318.12</v>
      </c>
    </row>
    <row r="8" spans="1:9" s="19" customFormat="1" ht="15.75" x14ac:dyDescent="0.25">
      <c r="A8" s="45">
        <v>96</v>
      </c>
      <c r="B8" s="57">
        <v>100071591724</v>
      </c>
      <c r="C8" s="58" t="s">
        <v>21</v>
      </c>
      <c r="D8" s="65" t="s">
        <v>21</v>
      </c>
      <c r="E8" s="65">
        <v>30</v>
      </c>
      <c r="F8" s="64">
        <v>5500</v>
      </c>
      <c r="G8" s="64">
        <v>5500</v>
      </c>
      <c r="H8" s="61">
        <f t="shared" si="1"/>
        <v>660</v>
      </c>
      <c r="I8" s="21">
        <f t="shared" si="0"/>
        <v>660</v>
      </c>
    </row>
    <row r="9" spans="1:9" s="19" customFormat="1" ht="15.75" x14ac:dyDescent="0.25">
      <c r="A9" s="45">
        <v>112</v>
      </c>
      <c r="B9" s="57">
        <v>100353622159</v>
      </c>
      <c r="C9" s="58" t="s">
        <v>24</v>
      </c>
      <c r="D9" s="65" t="s">
        <v>25</v>
      </c>
      <c r="E9" s="48">
        <v>30</v>
      </c>
      <c r="F9" s="48">
        <v>5500</v>
      </c>
      <c r="G9" s="48">
        <v>5500</v>
      </c>
      <c r="H9" s="61">
        <f t="shared" si="1"/>
        <v>660</v>
      </c>
      <c r="I9" s="21">
        <f t="shared" si="0"/>
        <v>660</v>
      </c>
    </row>
    <row r="10" spans="1:9" s="19" customFormat="1" ht="15.75" x14ac:dyDescent="0.25">
      <c r="A10" s="45">
        <v>126</v>
      </c>
      <c r="B10" s="57">
        <v>100358535750</v>
      </c>
      <c r="C10" s="58" t="s">
        <v>26</v>
      </c>
      <c r="D10" s="51" t="s">
        <v>27</v>
      </c>
      <c r="E10" s="69">
        <v>30</v>
      </c>
      <c r="F10" s="69">
        <v>5500</v>
      </c>
      <c r="G10" s="69">
        <v>5500</v>
      </c>
      <c r="H10" s="61">
        <f t="shared" si="1"/>
        <v>660</v>
      </c>
      <c r="I10" s="21">
        <f t="shared" si="0"/>
        <v>660</v>
      </c>
    </row>
    <row r="11" spans="1:9" s="19" customFormat="1" ht="15.75" x14ac:dyDescent="0.25">
      <c r="A11" s="45">
        <v>134</v>
      </c>
      <c r="B11" s="57">
        <v>100084707366</v>
      </c>
      <c r="C11" s="58" t="s">
        <v>28</v>
      </c>
      <c r="D11" s="71" t="s">
        <v>28</v>
      </c>
      <c r="E11" s="48">
        <v>30</v>
      </c>
      <c r="F11" s="71">
        <v>1000</v>
      </c>
      <c r="G11" s="71">
        <v>1000</v>
      </c>
      <c r="H11" s="61">
        <f t="shared" si="1"/>
        <v>120</v>
      </c>
      <c r="I11" s="21">
        <f t="shared" si="0"/>
        <v>120</v>
      </c>
    </row>
    <row r="12" spans="1:9" s="19" customFormat="1" ht="15.75" x14ac:dyDescent="0.25">
      <c r="A12" s="45">
        <v>136</v>
      </c>
      <c r="B12" s="57">
        <v>100167059875</v>
      </c>
      <c r="C12" s="58" t="s">
        <v>29</v>
      </c>
      <c r="D12" s="65" t="s">
        <v>30</v>
      </c>
      <c r="E12" s="48">
        <v>30</v>
      </c>
      <c r="F12" s="49">
        <v>5500</v>
      </c>
      <c r="G12" s="49">
        <v>5500</v>
      </c>
      <c r="H12" s="61">
        <f t="shared" si="1"/>
        <v>660</v>
      </c>
      <c r="I12" s="21">
        <f t="shared" si="0"/>
        <v>660</v>
      </c>
    </row>
    <row r="13" spans="1:9" s="19" customFormat="1" ht="15.75" x14ac:dyDescent="0.25">
      <c r="A13" s="45">
        <v>149</v>
      </c>
      <c r="B13" s="57">
        <v>100333985226</v>
      </c>
      <c r="C13" s="58" t="s">
        <v>31</v>
      </c>
      <c r="D13" s="51" t="s">
        <v>32</v>
      </c>
      <c r="E13" s="72">
        <v>30</v>
      </c>
      <c r="F13" s="72">
        <v>1000</v>
      </c>
      <c r="G13" s="72">
        <v>1000</v>
      </c>
      <c r="H13" s="61">
        <f t="shared" si="1"/>
        <v>120</v>
      </c>
      <c r="I13" s="21">
        <f t="shared" si="0"/>
        <v>120</v>
      </c>
    </row>
    <row r="14" spans="1:9" s="19" customFormat="1" ht="15.75" x14ac:dyDescent="0.25">
      <c r="A14" s="45">
        <v>191</v>
      </c>
      <c r="B14" s="57">
        <v>100094359606</v>
      </c>
      <c r="C14" s="58" t="s">
        <v>33</v>
      </c>
      <c r="D14" s="75" t="s">
        <v>33</v>
      </c>
      <c r="E14" s="75">
        <v>30</v>
      </c>
      <c r="F14" s="75">
        <v>2651</v>
      </c>
      <c r="G14" s="75">
        <v>2651</v>
      </c>
      <c r="H14" s="61">
        <f t="shared" si="1"/>
        <v>318.12</v>
      </c>
      <c r="I14" s="21">
        <f t="shared" si="0"/>
        <v>318.12</v>
      </c>
    </row>
    <row r="15" spans="1:9" s="19" customFormat="1" ht="15.75" x14ac:dyDescent="0.25">
      <c r="A15" s="45">
        <v>195</v>
      </c>
      <c r="B15" s="57">
        <v>100235466823</v>
      </c>
      <c r="C15" s="58" t="s">
        <v>34</v>
      </c>
      <c r="D15" s="75" t="s">
        <v>35</v>
      </c>
      <c r="E15" s="75">
        <v>30</v>
      </c>
      <c r="F15" s="75">
        <v>5500</v>
      </c>
      <c r="G15" s="75">
        <v>5500</v>
      </c>
      <c r="H15" s="61">
        <f t="shared" si="1"/>
        <v>660</v>
      </c>
      <c r="I15" s="21">
        <f t="shared" si="0"/>
        <v>660</v>
      </c>
    </row>
    <row r="16" spans="1:9" s="19" customFormat="1" ht="30" x14ac:dyDescent="0.25">
      <c r="A16" s="45">
        <v>204</v>
      </c>
      <c r="B16" s="57">
        <v>100232169483</v>
      </c>
      <c r="C16" s="58" t="s">
        <v>37</v>
      </c>
      <c r="D16" s="75" t="s">
        <v>38</v>
      </c>
      <c r="E16" s="50">
        <v>30</v>
      </c>
      <c r="F16" s="50">
        <v>5500</v>
      </c>
      <c r="G16" s="50">
        <v>5500</v>
      </c>
      <c r="H16" s="61">
        <f t="shared" si="1"/>
        <v>660</v>
      </c>
      <c r="I16" s="21">
        <f t="shared" si="0"/>
        <v>660</v>
      </c>
    </row>
    <row r="17" spans="1:9" s="19" customFormat="1" ht="15.75" x14ac:dyDescent="0.25">
      <c r="A17" s="45">
        <v>224</v>
      </c>
      <c r="B17" s="57">
        <v>100112371371</v>
      </c>
      <c r="C17" s="58" t="s">
        <v>39</v>
      </c>
      <c r="D17" s="77" t="s">
        <v>40</v>
      </c>
      <c r="E17" s="75">
        <v>30</v>
      </c>
      <c r="F17" s="77">
        <v>5500</v>
      </c>
      <c r="G17" s="77">
        <v>5500</v>
      </c>
      <c r="H17" s="61">
        <f t="shared" si="1"/>
        <v>660</v>
      </c>
      <c r="I17" s="21">
        <f>G17*12/100</f>
        <v>660</v>
      </c>
    </row>
    <row r="18" spans="1:9" s="19" customFormat="1" ht="15.75" x14ac:dyDescent="0.25">
      <c r="A18" s="45">
        <v>252</v>
      </c>
      <c r="B18" s="57">
        <v>100373345016</v>
      </c>
      <c r="C18" s="58" t="s">
        <v>43</v>
      </c>
      <c r="D18" s="79" t="s">
        <v>44</v>
      </c>
      <c r="E18" s="77">
        <v>30</v>
      </c>
      <c r="F18" s="80">
        <v>5500</v>
      </c>
      <c r="G18" s="80">
        <v>5500</v>
      </c>
      <c r="H18" s="61">
        <f t="shared" si="1"/>
        <v>660</v>
      </c>
      <c r="I18" s="21">
        <f>G18*12/100</f>
        <v>660</v>
      </c>
    </row>
    <row r="19" spans="1:9" s="19" customFormat="1" ht="15.75" x14ac:dyDescent="0.25">
      <c r="A19" s="45">
        <v>269</v>
      </c>
      <c r="B19" s="57">
        <v>100353847332</v>
      </c>
      <c r="C19" s="58" t="s">
        <v>46</v>
      </c>
      <c r="D19" s="83" t="s">
        <v>47</v>
      </c>
      <c r="E19" s="83">
        <v>30</v>
      </c>
      <c r="F19" s="84">
        <v>5500</v>
      </c>
      <c r="G19" s="84">
        <v>5500</v>
      </c>
      <c r="H19" s="61">
        <f t="shared" si="1"/>
        <v>660</v>
      </c>
      <c r="I19" s="21">
        <f t="shared" ref="I19:I42" si="2">G19*12/100</f>
        <v>660</v>
      </c>
    </row>
    <row r="20" spans="1:9" s="19" customFormat="1" ht="15.75" x14ac:dyDescent="0.25">
      <c r="A20" s="45">
        <v>309</v>
      </c>
      <c r="B20" s="57">
        <v>100353888563</v>
      </c>
      <c r="C20" s="58" t="s">
        <v>48</v>
      </c>
      <c r="D20" s="85" t="s">
        <v>48</v>
      </c>
      <c r="E20" s="83">
        <v>30</v>
      </c>
      <c r="F20" s="84">
        <v>2129</v>
      </c>
      <c r="G20" s="84">
        <v>2129</v>
      </c>
      <c r="H20" s="61">
        <f t="shared" si="1"/>
        <v>255.48</v>
      </c>
      <c r="I20" s="21"/>
    </row>
    <row r="21" spans="1:9" s="19" customFormat="1" ht="15.75" x14ac:dyDescent="0.25">
      <c r="A21" s="45">
        <v>324</v>
      </c>
      <c r="B21" s="57">
        <v>100366458827</v>
      </c>
      <c r="C21" s="58" t="s">
        <v>51</v>
      </c>
      <c r="D21" s="87" t="s">
        <v>52</v>
      </c>
      <c r="E21" s="88">
        <v>30</v>
      </c>
      <c r="F21" s="89">
        <v>5500</v>
      </c>
      <c r="G21" s="89">
        <v>5500</v>
      </c>
      <c r="H21" s="61">
        <f t="shared" si="1"/>
        <v>660</v>
      </c>
      <c r="I21" s="21">
        <f t="shared" si="2"/>
        <v>660</v>
      </c>
    </row>
    <row r="22" spans="1:9" s="19" customFormat="1" ht="26.25" x14ac:dyDescent="0.25">
      <c r="A22" s="45">
        <v>326</v>
      </c>
      <c r="B22" s="57">
        <v>100353855918</v>
      </c>
      <c r="C22" s="58" t="s">
        <v>53</v>
      </c>
      <c r="D22" s="90" t="s">
        <v>54</v>
      </c>
      <c r="E22" s="88">
        <v>30</v>
      </c>
      <c r="F22" s="89">
        <v>5500</v>
      </c>
      <c r="G22" s="89">
        <v>5500</v>
      </c>
      <c r="H22" s="61">
        <f t="shared" si="1"/>
        <v>660</v>
      </c>
      <c r="I22" s="21">
        <f t="shared" si="2"/>
        <v>660</v>
      </c>
    </row>
    <row r="23" spans="1:9" s="19" customFormat="1" ht="15.75" x14ac:dyDescent="0.25">
      <c r="A23" s="45">
        <v>337</v>
      </c>
      <c r="B23" s="57">
        <v>100353650100</v>
      </c>
      <c r="C23" s="58" t="s">
        <v>57</v>
      </c>
      <c r="D23" s="92" t="s">
        <v>58</v>
      </c>
      <c r="E23" s="88">
        <v>30</v>
      </c>
      <c r="F23" s="89">
        <v>5500</v>
      </c>
      <c r="G23" s="89">
        <v>5500</v>
      </c>
      <c r="H23" s="61">
        <f t="shared" si="1"/>
        <v>660</v>
      </c>
      <c r="I23" s="21">
        <f t="shared" si="2"/>
        <v>660</v>
      </c>
    </row>
    <row r="24" spans="1:9" s="19" customFormat="1" ht="15.75" x14ac:dyDescent="0.25">
      <c r="A24" s="45">
        <v>372</v>
      </c>
      <c r="B24" s="57">
        <v>100091836225</v>
      </c>
      <c r="C24" s="58" t="s">
        <v>63</v>
      </c>
      <c r="D24" s="95" t="s">
        <v>64</v>
      </c>
      <c r="E24" s="83">
        <v>30</v>
      </c>
      <c r="F24" s="96">
        <v>5500</v>
      </c>
      <c r="G24" s="96">
        <v>5500</v>
      </c>
      <c r="H24" s="61">
        <f t="shared" si="1"/>
        <v>660</v>
      </c>
      <c r="I24" s="21">
        <f t="shared" si="2"/>
        <v>660</v>
      </c>
    </row>
    <row r="25" spans="1:9" s="19" customFormat="1" ht="15.75" x14ac:dyDescent="0.25">
      <c r="A25" s="45">
        <v>378</v>
      </c>
      <c r="B25" s="57">
        <v>100283282515</v>
      </c>
      <c r="C25" s="58" t="s">
        <v>65</v>
      </c>
      <c r="D25" s="95" t="s">
        <v>65</v>
      </c>
      <c r="E25" s="83">
        <v>30</v>
      </c>
      <c r="F25" s="89">
        <v>5500</v>
      </c>
      <c r="G25" s="89">
        <v>5500</v>
      </c>
      <c r="H25" s="61">
        <f t="shared" si="1"/>
        <v>660</v>
      </c>
      <c r="I25" s="21">
        <f t="shared" si="2"/>
        <v>660</v>
      </c>
    </row>
    <row r="26" spans="1:9" s="19" customFormat="1" ht="15.75" x14ac:dyDescent="0.25">
      <c r="A26" s="45">
        <v>390</v>
      </c>
      <c r="B26" s="57">
        <v>100353938598</v>
      </c>
      <c r="C26" s="58" t="s">
        <v>66</v>
      </c>
      <c r="D26" s="92" t="s">
        <v>67</v>
      </c>
      <c r="E26" s="83">
        <v>30</v>
      </c>
      <c r="F26" s="88">
        <v>5500</v>
      </c>
      <c r="G26" s="88">
        <v>5500</v>
      </c>
      <c r="H26" s="61">
        <f t="shared" si="1"/>
        <v>660</v>
      </c>
      <c r="I26" s="21">
        <f t="shared" si="2"/>
        <v>660</v>
      </c>
    </row>
    <row r="27" spans="1:9" s="19" customFormat="1" ht="15.75" x14ac:dyDescent="0.25">
      <c r="A27" s="45">
        <v>400</v>
      </c>
      <c r="B27" s="57">
        <v>100358397938</v>
      </c>
      <c r="C27" s="58" t="s">
        <v>70</v>
      </c>
      <c r="D27" s="98" t="s">
        <v>71</v>
      </c>
      <c r="E27" s="83">
        <v>30</v>
      </c>
      <c r="F27" s="88">
        <v>5500</v>
      </c>
      <c r="G27" s="88">
        <v>5500</v>
      </c>
      <c r="H27" s="61">
        <f t="shared" si="1"/>
        <v>660</v>
      </c>
      <c r="I27" s="21">
        <f t="shared" si="2"/>
        <v>660</v>
      </c>
    </row>
    <row r="28" spans="1:9" s="19" customFormat="1" ht="18" x14ac:dyDescent="0.25">
      <c r="A28" s="45">
        <v>415</v>
      </c>
      <c r="B28" s="57">
        <v>100358404005</v>
      </c>
      <c r="C28" s="58" t="s">
        <v>72</v>
      </c>
      <c r="D28" s="99" t="s">
        <v>73</v>
      </c>
      <c r="E28" s="83">
        <v>30</v>
      </c>
      <c r="F28" s="88">
        <v>2000</v>
      </c>
      <c r="G28" s="88">
        <v>2000</v>
      </c>
      <c r="H28" s="61">
        <f t="shared" si="1"/>
        <v>240</v>
      </c>
      <c r="I28" s="21"/>
    </row>
    <row r="29" spans="1:9" s="19" customFormat="1" ht="16.5" x14ac:dyDescent="0.25">
      <c r="A29" s="45">
        <v>434</v>
      </c>
      <c r="B29" s="57">
        <v>100353735967</v>
      </c>
      <c r="C29" s="58" t="s">
        <v>75</v>
      </c>
      <c r="D29" s="100" t="s">
        <v>76</v>
      </c>
      <c r="E29" s="83">
        <v>30</v>
      </c>
      <c r="F29" s="54">
        <v>5500</v>
      </c>
      <c r="G29" s="54">
        <v>5500</v>
      </c>
      <c r="H29" s="61">
        <f t="shared" si="1"/>
        <v>660</v>
      </c>
      <c r="I29" s="21">
        <f t="shared" si="2"/>
        <v>660</v>
      </c>
    </row>
    <row r="30" spans="1:9" s="19" customFormat="1" ht="16.5" x14ac:dyDescent="0.25">
      <c r="A30" s="45">
        <v>435</v>
      </c>
      <c r="B30" s="57">
        <v>100358401923</v>
      </c>
      <c r="C30" s="58" t="s">
        <v>77</v>
      </c>
      <c r="D30" s="100" t="s">
        <v>78</v>
      </c>
      <c r="E30" s="83">
        <v>30</v>
      </c>
      <c r="F30" s="54">
        <v>1000</v>
      </c>
      <c r="G30" s="54">
        <v>1000</v>
      </c>
      <c r="H30" s="61">
        <f t="shared" si="1"/>
        <v>120</v>
      </c>
      <c r="I30" s="21">
        <f t="shared" si="2"/>
        <v>120</v>
      </c>
    </row>
    <row r="31" spans="1:9" s="19" customFormat="1" ht="18" x14ac:dyDescent="0.25">
      <c r="A31" s="45">
        <v>443</v>
      </c>
      <c r="B31" s="57">
        <v>100205552698</v>
      </c>
      <c r="C31" s="58" t="s">
        <v>79</v>
      </c>
      <c r="D31" s="101" t="s">
        <v>80</v>
      </c>
      <c r="E31" s="83">
        <v>30</v>
      </c>
      <c r="F31" s="102">
        <v>5500</v>
      </c>
      <c r="G31" s="102">
        <v>5500</v>
      </c>
      <c r="H31" s="61">
        <f t="shared" si="1"/>
        <v>660</v>
      </c>
      <c r="I31" s="21">
        <f t="shared" si="2"/>
        <v>660</v>
      </c>
    </row>
    <row r="32" spans="1:9" s="19" customFormat="1" ht="33" x14ac:dyDescent="0.25">
      <c r="A32" s="45">
        <v>447</v>
      </c>
      <c r="B32" s="57">
        <v>100134159284</v>
      </c>
      <c r="C32" s="58" t="s">
        <v>81</v>
      </c>
      <c r="D32" s="103" t="s">
        <v>81</v>
      </c>
      <c r="E32" s="83">
        <v>30</v>
      </c>
      <c r="F32" s="103">
        <v>5500</v>
      </c>
      <c r="G32" s="103">
        <v>5500</v>
      </c>
      <c r="H32" s="61">
        <f t="shared" si="1"/>
        <v>660</v>
      </c>
      <c r="I32" s="21">
        <f t="shared" si="2"/>
        <v>660</v>
      </c>
    </row>
    <row r="33" spans="1:9" s="19" customFormat="1" ht="15.75" x14ac:dyDescent="0.25">
      <c r="A33" s="45">
        <v>451</v>
      </c>
      <c r="B33" s="57">
        <v>100162007981</v>
      </c>
      <c r="C33" s="58" t="s">
        <v>82</v>
      </c>
      <c r="D33" s="51" t="s">
        <v>83</v>
      </c>
      <c r="E33" s="83">
        <v>30</v>
      </c>
      <c r="F33" s="104">
        <v>2651</v>
      </c>
      <c r="G33" s="104">
        <v>2651</v>
      </c>
      <c r="H33" s="61">
        <f t="shared" si="1"/>
        <v>318.12</v>
      </c>
      <c r="I33" s="21">
        <f t="shared" si="2"/>
        <v>318.12</v>
      </c>
    </row>
    <row r="34" spans="1:9" s="19" customFormat="1" ht="18" x14ac:dyDescent="0.25">
      <c r="A34" s="45">
        <v>466</v>
      </c>
      <c r="B34" s="57">
        <v>100232175087</v>
      </c>
      <c r="C34" s="58" t="s">
        <v>85</v>
      </c>
      <c r="D34" s="106" t="s">
        <v>86</v>
      </c>
      <c r="E34" s="83">
        <v>30</v>
      </c>
      <c r="F34" s="107">
        <v>2651</v>
      </c>
      <c r="G34" s="107">
        <v>2651</v>
      </c>
      <c r="H34" s="61">
        <f t="shared" si="1"/>
        <v>318.12</v>
      </c>
      <c r="I34" s="21">
        <f t="shared" si="2"/>
        <v>318.12</v>
      </c>
    </row>
    <row r="35" spans="1:9" s="19" customFormat="1" ht="15.75" x14ac:dyDescent="0.25">
      <c r="A35" s="45">
        <v>481</v>
      </c>
      <c r="B35" s="57">
        <v>100358411358</v>
      </c>
      <c r="C35" s="58" t="s">
        <v>88</v>
      </c>
      <c r="D35" s="108" t="s">
        <v>87</v>
      </c>
      <c r="E35" s="83">
        <v>30</v>
      </c>
      <c r="F35" s="109">
        <v>5500</v>
      </c>
      <c r="G35" s="109">
        <v>5500</v>
      </c>
      <c r="H35" s="61">
        <f t="shared" si="1"/>
        <v>660</v>
      </c>
      <c r="I35" s="21">
        <f t="shared" si="2"/>
        <v>660</v>
      </c>
    </row>
    <row r="36" spans="1:9" s="19" customFormat="1" ht="15.75" x14ac:dyDescent="0.25">
      <c r="A36" s="45">
        <v>482</v>
      </c>
      <c r="B36" s="57">
        <v>100353504634</v>
      </c>
      <c r="C36" s="58" t="s">
        <v>90</v>
      </c>
      <c r="D36" s="108" t="s">
        <v>89</v>
      </c>
      <c r="E36" s="83">
        <v>30</v>
      </c>
      <c r="F36" s="109">
        <v>5500</v>
      </c>
      <c r="G36" s="109">
        <v>5500</v>
      </c>
      <c r="H36" s="61">
        <f t="shared" si="1"/>
        <v>660</v>
      </c>
      <c r="I36" s="21">
        <f t="shared" si="2"/>
        <v>660</v>
      </c>
    </row>
    <row r="37" spans="1:9" s="19" customFormat="1" ht="15.75" x14ac:dyDescent="0.25">
      <c r="A37" s="45">
        <v>483</v>
      </c>
      <c r="B37" s="57">
        <v>100353780044</v>
      </c>
      <c r="C37" s="58" t="s">
        <v>92</v>
      </c>
      <c r="D37" s="108" t="s">
        <v>91</v>
      </c>
      <c r="E37" s="83">
        <v>30</v>
      </c>
      <c r="F37" s="109">
        <v>5500</v>
      </c>
      <c r="G37" s="109">
        <v>5500</v>
      </c>
      <c r="H37" s="61">
        <f t="shared" si="1"/>
        <v>660</v>
      </c>
      <c r="I37" s="21">
        <f t="shared" si="2"/>
        <v>660</v>
      </c>
    </row>
    <row r="38" spans="1:9" s="19" customFormat="1" ht="15.75" x14ac:dyDescent="0.25">
      <c r="A38" s="45">
        <v>485</v>
      </c>
      <c r="B38" s="57">
        <v>100236190637</v>
      </c>
      <c r="C38" s="58" t="s">
        <v>94</v>
      </c>
      <c r="D38" s="108" t="s">
        <v>93</v>
      </c>
      <c r="E38" s="83">
        <v>30</v>
      </c>
      <c r="F38" s="109">
        <v>5500</v>
      </c>
      <c r="G38" s="109">
        <v>5500</v>
      </c>
      <c r="H38" s="61">
        <f t="shared" si="1"/>
        <v>660</v>
      </c>
      <c r="I38" s="21">
        <f t="shared" si="2"/>
        <v>660</v>
      </c>
    </row>
    <row r="39" spans="1:9" s="42" customFormat="1" ht="15.75" x14ac:dyDescent="0.25">
      <c r="A39" s="45">
        <v>487</v>
      </c>
      <c r="B39" s="57">
        <v>100358418267</v>
      </c>
      <c r="C39" s="58" t="s">
        <v>96</v>
      </c>
      <c r="D39" s="108" t="s">
        <v>95</v>
      </c>
      <c r="E39" s="83">
        <v>30</v>
      </c>
      <c r="F39" s="109">
        <v>2859</v>
      </c>
      <c r="G39" s="109">
        <v>2859</v>
      </c>
      <c r="H39" s="61">
        <f t="shared" si="1"/>
        <v>343.08</v>
      </c>
      <c r="I39" s="21">
        <f t="shared" si="2"/>
        <v>343.08</v>
      </c>
    </row>
    <row r="40" spans="1:9" s="19" customFormat="1" ht="15.75" x14ac:dyDescent="0.25">
      <c r="A40" s="45">
        <v>491</v>
      </c>
      <c r="B40" s="57">
        <v>100353509071</v>
      </c>
      <c r="C40" s="58" t="s">
        <v>97</v>
      </c>
      <c r="D40" s="58" t="s">
        <v>97</v>
      </c>
      <c r="E40" s="83">
        <v>30</v>
      </c>
      <c r="F40" s="110">
        <v>2651</v>
      </c>
      <c r="G40" s="110">
        <v>2651</v>
      </c>
      <c r="H40" s="61">
        <f t="shared" si="1"/>
        <v>318.12</v>
      </c>
      <c r="I40" s="21">
        <f t="shared" si="2"/>
        <v>318.12</v>
      </c>
    </row>
    <row r="41" spans="1:9" s="19" customFormat="1" ht="15.75" x14ac:dyDescent="0.25">
      <c r="A41" s="45">
        <v>492</v>
      </c>
      <c r="B41" s="57">
        <v>100353508759</v>
      </c>
      <c r="C41" s="58" t="s">
        <v>98</v>
      </c>
      <c r="D41" s="58" t="s">
        <v>98</v>
      </c>
      <c r="E41" s="83">
        <v>30</v>
      </c>
      <c r="F41" s="110">
        <v>2651</v>
      </c>
      <c r="G41" s="110">
        <v>2651</v>
      </c>
      <c r="H41" s="61">
        <f t="shared" si="1"/>
        <v>318.12</v>
      </c>
      <c r="I41" s="21">
        <f t="shared" si="2"/>
        <v>318.12</v>
      </c>
    </row>
    <row r="42" spans="1:9" s="19" customFormat="1" ht="15.75" x14ac:dyDescent="0.25">
      <c r="A42" s="45">
        <v>493</v>
      </c>
      <c r="B42" s="57">
        <v>100353509419</v>
      </c>
      <c r="C42" s="58" t="s">
        <v>99</v>
      </c>
      <c r="D42" s="58" t="s">
        <v>99</v>
      </c>
      <c r="E42" s="83">
        <v>30</v>
      </c>
      <c r="F42" s="110">
        <v>2651</v>
      </c>
      <c r="G42" s="110">
        <v>2651</v>
      </c>
      <c r="H42" s="61">
        <f t="shared" si="1"/>
        <v>318.12</v>
      </c>
      <c r="I42" s="21">
        <f t="shared" si="2"/>
        <v>318.12</v>
      </c>
    </row>
    <row r="43" spans="1:9" s="19" customFormat="1" ht="15.75" x14ac:dyDescent="0.25">
      <c r="A43" s="45">
        <v>496</v>
      </c>
      <c r="B43" s="57">
        <v>100353505607</v>
      </c>
      <c r="C43" s="58" t="s">
        <v>100</v>
      </c>
      <c r="D43" s="58" t="s">
        <v>100</v>
      </c>
      <c r="E43" s="83">
        <v>30</v>
      </c>
      <c r="F43" s="110">
        <v>2000</v>
      </c>
      <c r="G43" s="110">
        <v>2000</v>
      </c>
      <c r="H43" s="61">
        <f t="shared" si="1"/>
        <v>240</v>
      </c>
      <c r="I43" s="21">
        <f>G43*12/100</f>
        <v>240</v>
      </c>
    </row>
    <row r="44" spans="1:9" s="19" customFormat="1" ht="15.75" x14ac:dyDescent="0.25">
      <c r="A44" s="45">
        <v>498</v>
      </c>
      <c r="B44" s="57">
        <v>100353509092</v>
      </c>
      <c r="C44" s="58" t="s">
        <v>101</v>
      </c>
      <c r="D44" s="58" t="s">
        <v>101</v>
      </c>
      <c r="E44" s="83">
        <v>30</v>
      </c>
      <c r="F44" s="110">
        <v>2651</v>
      </c>
      <c r="G44" s="110">
        <v>2651</v>
      </c>
      <c r="H44" s="61">
        <f t="shared" si="1"/>
        <v>318.12</v>
      </c>
      <c r="I44" s="21">
        <f>G44*12/100</f>
        <v>318.12</v>
      </c>
    </row>
    <row r="45" spans="1:9" s="19" customFormat="1" ht="15.75" x14ac:dyDescent="0.25">
      <c r="A45" s="45">
        <v>564</v>
      </c>
      <c r="B45" s="57">
        <v>100358576652</v>
      </c>
      <c r="C45" s="58" t="s">
        <v>104</v>
      </c>
      <c r="D45" s="86" t="s">
        <v>105</v>
      </c>
      <c r="E45" s="83">
        <v>30</v>
      </c>
      <c r="F45" s="112">
        <v>5500</v>
      </c>
      <c r="G45" s="112">
        <v>5500</v>
      </c>
      <c r="H45" s="61">
        <f t="shared" si="1"/>
        <v>660</v>
      </c>
      <c r="I45" s="21" t="e">
        <f>#REF!*12/100</f>
        <v>#REF!</v>
      </c>
    </row>
    <row r="46" spans="1:9" ht="29.25" customHeight="1" x14ac:dyDescent="0.25">
      <c r="A46" s="24"/>
      <c r="B46" s="25"/>
      <c r="C46" s="9"/>
      <c r="D46" s="31"/>
      <c r="E46" s="9"/>
      <c r="F46" s="56">
        <f>SUM(F3:F45)</f>
        <v>184347</v>
      </c>
      <c r="G46" s="56">
        <f>SUM(G3:G45)</f>
        <v>184347</v>
      </c>
      <c r="H46" s="56">
        <f>SUM(H3:H45)</f>
        <v>22121.639999999996</v>
      </c>
      <c r="I46" s="23"/>
    </row>
    <row r="47" spans="1:9" ht="17.25" x14ac:dyDescent="0.25">
      <c r="A47" s="24"/>
      <c r="B47" s="25"/>
      <c r="C47" s="26"/>
      <c r="D47" s="26"/>
      <c r="E47" s="27"/>
      <c r="F47" s="28"/>
      <c r="G47" s="29"/>
      <c r="H47" s="29"/>
      <c r="I47" s="23"/>
    </row>
    <row r="49" spans="1:14" x14ac:dyDescent="0.25">
      <c r="H49" s="36"/>
      <c r="I49" s="37"/>
    </row>
    <row r="50" spans="1:14" x14ac:dyDescent="0.25">
      <c r="A50" s="44"/>
      <c r="B50" s="16"/>
      <c r="C50" s="17"/>
      <c r="D50" s="53"/>
      <c r="E50" s="47"/>
    </row>
    <row r="51" spans="1:14" x14ac:dyDescent="0.25">
      <c r="I51" s="38"/>
    </row>
    <row r="53" spans="1:14" x14ac:dyDescent="0.25">
      <c r="F53" s="39"/>
      <c r="G53" s="39"/>
      <c r="I53" s="38"/>
    </row>
    <row r="55" spans="1:14" x14ac:dyDescent="0.25">
      <c r="F55" s="39"/>
    </row>
    <row r="56" spans="1:14" x14ac:dyDescent="0.25">
      <c r="F56" s="39"/>
    </row>
    <row r="57" spans="1:14" x14ac:dyDescent="0.25">
      <c r="G57" s="39"/>
    </row>
    <row r="58" spans="1:14" x14ac:dyDescent="0.25">
      <c r="F58" s="40"/>
      <c r="G58" s="40"/>
      <c r="I58" s="23"/>
    </row>
    <row r="59" spans="1:14" x14ac:dyDescent="0.25">
      <c r="F59" s="40"/>
      <c r="G59" s="41"/>
    </row>
    <row r="60" spans="1:14" x14ac:dyDescent="0.25">
      <c r="F60" s="40"/>
      <c r="G60" s="40"/>
      <c r="I60" s="23"/>
    </row>
    <row r="61" spans="1:14" ht="25.5" x14ac:dyDescent="0.25">
      <c r="A61" s="18" t="s">
        <v>106</v>
      </c>
      <c r="B61" s="20">
        <v>19250</v>
      </c>
      <c r="C61" s="20">
        <v>13960</v>
      </c>
      <c r="D61" s="20">
        <v>1800</v>
      </c>
      <c r="E61" s="30"/>
      <c r="F61" s="31"/>
      <c r="G61" s="31"/>
      <c r="H61" s="31"/>
      <c r="I61" s="32"/>
      <c r="J61" s="33"/>
      <c r="K61" s="40"/>
      <c r="L61" s="40"/>
      <c r="M61" s="35"/>
      <c r="N61" s="22"/>
    </row>
    <row r="63" spans="1:14" x14ac:dyDescent="0.25">
      <c r="E63" s="33">
        <v>42983</v>
      </c>
      <c r="F63" s="34">
        <v>17783</v>
      </c>
      <c r="G63" s="34">
        <f>E63-F63</f>
        <v>25200</v>
      </c>
    </row>
    <row r="64" spans="1:14" x14ac:dyDescent="0.25">
      <c r="G64" s="34">
        <v>18114</v>
      </c>
    </row>
    <row r="65" spans="2:9" x14ac:dyDescent="0.25">
      <c r="G65" s="34">
        <f>SUM(G63:G64)</f>
        <v>43314</v>
      </c>
      <c r="H65" s="35">
        <v>42728</v>
      </c>
      <c r="I65" s="22">
        <f>G65-H65</f>
        <v>586</v>
      </c>
    </row>
    <row r="69" spans="2:9" s="30" customFormat="1" x14ac:dyDescent="0.25">
      <c r="B69" s="31"/>
      <c r="C69" s="31"/>
      <c r="D69" s="32"/>
      <c r="E69" s="33"/>
      <c r="F69" s="34"/>
      <c r="G69" s="34"/>
      <c r="H69" s="35"/>
      <c r="I69" s="22"/>
    </row>
    <row r="100" spans="2:9" s="30" customFormat="1" x14ac:dyDescent="0.25">
      <c r="B100" s="31"/>
      <c r="C100" s="31"/>
      <c r="D100" s="32"/>
      <c r="E100" s="33"/>
      <c r="F100" s="34"/>
      <c r="G100" s="34"/>
      <c r="H100" s="35"/>
      <c r="I100" s="22"/>
    </row>
    <row r="155" spans="2:9" s="30" customFormat="1" x14ac:dyDescent="0.25">
      <c r="B155" s="31"/>
      <c r="C155" s="31"/>
      <c r="D155" s="32"/>
      <c r="E155" s="33"/>
      <c r="F155" s="34"/>
      <c r="G155" s="34"/>
      <c r="H155" s="35"/>
      <c r="I155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57"/>
  <sheetViews>
    <sheetView topLeftCell="A16" zoomScale="130" zoomScaleNormal="130" workbookViewId="0">
      <selection activeCell="C17" sqref="C17"/>
    </sheetView>
  </sheetViews>
  <sheetFormatPr defaultRowHeight="18.75" x14ac:dyDescent="0.25"/>
  <cols>
    <col min="1" max="1" width="9.140625" style="30"/>
    <col min="2" max="2" width="19.8554687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5703125" style="35" bestFit="1" customWidth="1"/>
    <col min="9" max="9" width="9.140625" style="22"/>
    <col min="10" max="16384" width="9.140625" style="9"/>
  </cols>
  <sheetData>
    <row r="1" spans="1:9" x14ac:dyDescent="0.25">
      <c r="A1" s="1">
        <v>39661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>G3*12/100</f>
        <v>660</v>
      </c>
      <c r="I3" s="21">
        <f t="shared" ref="I3:I18" si="0">G3*12/100</f>
        <v>660</v>
      </c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5500</v>
      </c>
      <c r="G4" s="61">
        <v>5500</v>
      </c>
      <c r="H4" s="61">
        <f t="shared" ref="H4:H47" si="1">G4*12/100</f>
        <v>660</v>
      </c>
      <c r="I4" s="21">
        <f t="shared" si="0"/>
        <v>660</v>
      </c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2651</v>
      </c>
      <c r="G5" s="62">
        <v>2651</v>
      </c>
      <c r="H5" s="61">
        <f t="shared" si="1"/>
        <v>318.12</v>
      </c>
      <c r="I5" s="21">
        <f t="shared" si="0"/>
        <v>318.12</v>
      </c>
    </row>
    <row r="6" spans="1:9" s="19" customFormat="1" ht="25.5" x14ac:dyDescent="0.25">
      <c r="A6" s="45">
        <v>50</v>
      </c>
      <c r="B6" s="57">
        <v>100253724762</v>
      </c>
      <c r="C6" s="58" t="s">
        <v>15</v>
      </c>
      <c r="D6" s="64" t="s">
        <v>16</v>
      </c>
      <c r="E6" s="65">
        <v>30</v>
      </c>
      <c r="F6" s="64">
        <v>5500</v>
      </c>
      <c r="G6" s="64">
        <v>5500</v>
      </c>
      <c r="H6" s="61">
        <f t="shared" si="1"/>
        <v>660</v>
      </c>
      <c r="I6" s="21">
        <f t="shared" si="0"/>
        <v>660</v>
      </c>
    </row>
    <row r="7" spans="1:9" s="19" customFormat="1" ht="15.75" x14ac:dyDescent="0.25">
      <c r="A7" s="45">
        <v>82</v>
      </c>
      <c r="B7" s="57">
        <v>100337411384</v>
      </c>
      <c r="C7" s="58" t="s">
        <v>18</v>
      </c>
      <c r="D7" s="67" t="s">
        <v>18</v>
      </c>
      <c r="E7" s="65">
        <v>29</v>
      </c>
      <c r="F7" s="64">
        <v>3195</v>
      </c>
      <c r="G7" s="64">
        <v>3195</v>
      </c>
      <c r="H7" s="61">
        <f t="shared" si="1"/>
        <v>383.4</v>
      </c>
      <c r="I7" s="21">
        <f t="shared" si="0"/>
        <v>383.4</v>
      </c>
    </row>
    <row r="8" spans="1:9" s="19" customFormat="1" ht="15.75" x14ac:dyDescent="0.25">
      <c r="A8" s="45">
        <v>96</v>
      </c>
      <c r="B8" s="57">
        <v>100071591724</v>
      </c>
      <c r="C8" s="58" t="s">
        <v>21</v>
      </c>
      <c r="D8" s="65" t="s">
        <v>21</v>
      </c>
      <c r="E8" s="65">
        <v>30</v>
      </c>
      <c r="F8" s="64">
        <v>5500</v>
      </c>
      <c r="G8" s="64">
        <v>5500</v>
      </c>
      <c r="H8" s="61">
        <f t="shared" si="1"/>
        <v>660</v>
      </c>
      <c r="I8" s="21">
        <f t="shared" si="0"/>
        <v>660</v>
      </c>
    </row>
    <row r="9" spans="1:9" s="19" customFormat="1" ht="15.75" x14ac:dyDescent="0.25">
      <c r="A9" s="45">
        <v>112</v>
      </c>
      <c r="B9" s="57">
        <v>100353622159</v>
      </c>
      <c r="C9" s="58" t="s">
        <v>24</v>
      </c>
      <c r="D9" s="65" t="s">
        <v>25</v>
      </c>
      <c r="E9" s="48">
        <v>30</v>
      </c>
      <c r="F9" s="48">
        <v>5500</v>
      </c>
      <c r="G9" s="48">
        <v>5500</v>
      </c>
      <c r="H9" s="61">
        <f t="shared" si="1"/>
        <v>660</v>
      </c>
      <c r="I9" s="21">
        <f t="shared" si="0"/>
        <v>660</v>
      </c>
    </row>
    <row r="10" spans="1:9" s="19" customFormat="1" ht="15.75" x14ac:dyDescent="0.25">
      <c r="A10" s="45">
        <v>126</v>
      </c>
      <c r="B10" s="57">
        <v>100358535750</v>
      </c>
      <c r="C10" s="58" t="s">
        <v>26</v>
      </c>
      <c r="D10" s="51" t="s">
        <v>27</v>
      </c>
      <c r="E10" s="69">
        <v>30</v>
      </c>
      <c r="F10" s="69">
        <v>5500</v>
      </c>
      <c r="G10" s="69">
        <v>5500</v>
      </c>
      <c r="H10" s="61">
        <f t="shared" si="1"/>
        <v>660</v>
      </c>
      <c r="I10" s="21">
        <f t="shared" si="0"/>
        <v>660</v>
      </c>
    </row>
    <row r="11" spans="1:9" s="19" customFormat="1" ht="15.75" x14ac:dyDescent="0.25">
      <c r="A11" s="45">
        <v>134</v>
      </c>
      <c r="B11" s="57">
        <v>100084707366</v>
      </c>
      <c r="C11" s="58" t="s">
        <v>28</v>
      </c>
      <c r="D11" s="71" t="s">
        <v>28</v>
      </c>
      <c r="E11" s="48">
        <v>30</v>
      </c>
      <c r="F11" s="71">
        <v>1000</v>
      </c>
      <c r="G11" s="71">
        <v>1000</v>
      </c>
      <c r="H11" s="61">
        <f t="shared" si="1"/>
        <v>120</v>
      </c>
      <c r="I11" s="21">
        <f t="shared" si="0"/>
        <v>120</v>
      </c>
    </row>
    <row r="12" spans="1:9" s="19" customFormat="1" ht="15.75" x14ac:dyDescent="0.25">
      <c r="A12" s="45">
        <v>136</v>
      </c>
      <c r="B12" s="57">
        <v>100167059875</v>
      </c>
      <c r="C12" s="58" t="s">
        <v>29</v>
      </c>
      <c r="D12" s="65" t="s">
        <v>30</v>
      </c>
      <c r="E12" s="48">
        <v>30</v>
      </c>
      <c r="F12" s="49">
        <v>5500</v>
      </c>
      <c r="G12" s="49">
        <v>5500</v>
      </c>
      <c r="H12" s="61">
        <f t="shared" si="1"/>
        <v>660</v>
      </c>
      <c r="I12" s="21">
        <f t="shared" si="0"/>
        <v>660</v>
      </c>
    </row>
    <row r="13" spans="1:9" s="19" customFormat="1" ht="15.75" x14ac:dyDescent="0.25">
      <c r="A13" s="45">
        <v>149</v>
      </c>
      <c r="B13" s="57">
        <v>100333985226</v>
      </c>
      <c r="C13" s="58" t="s">
        <v>31</v>
      </c>
      <c r="D13" s="51" t="s">
        <v>32</v>
      </c>
      <c r="E13" s="72">
        <v>30</v>
      </c>
      <c r="F13" s="72">
        <v>1500</v>
      </c>
      <c r="G13" s="72">
        <v>1500</v>
      </c>
      <c r="H13" s="61">
        <f t="shared" si="1"/>
        <v>180</v>
      </c>
      <c r="I13" s="21">
        <f t="shared" si="0"/>
        <v>180</v>
      </c>
    </row>
    <row r="14" spans="1:9" s="19" customFormat="1" ht="15.75" x14ac:dyDescent="0.25">
      <c r="A14" s="45">
        <v>186</v>
      </c>
      <c r="B14" s="57">
        <v>100353962659</v>
      </c>
      <c r="C14" s="58" t="s">
        <v>118</v>
      </c>
      <c r="D14" s="51" t="s">
        <v>119</v>
      </c>
      <c r="E14" s="72">
        <v>30</v>
      </c>
      <c r="F14" s="72">
        <v>1000</v>
      </c>
      <c r="G14" s="72">
        <v>1000</v>
      </c>
      <c r="H14" s="61">
        <f t="shared" si="1"/>
        <v>120</v>
      </c>
      <c r="I14" s="21"/>
    </row>
    <row r="15" spans="1:9" s="19" customFormat="1" ht="15.75" x14ac:dyDescent="0.25">
      <c r="A15" s="45">
        <v>191</v>
      </c>
      <c r="B15" s="57">
        <v>100094359606</v>
      </c>
      <c r="C15" s="58" t="s">
        <v>33</v>
      </c>
      <c r="D15" s="75" t="s">
        <v>33</v>
      </c>
      <c r="E15" s="75">
        <v>30</v>
      </c>
      <c r="F15" s="75">
        <v>2500</v>
      </c>
      <c r="G15" s="75">
        <v>2500</v>
      </c>
      <c r="H15" s="61">
        <f t="shared" si="1"/>
        <v>300</v>
      </c>
      <c r="I15" s="21">
        <f t="shared" si="0"/>
        <v>300</v>
      </c>
    </row>
    <row r="16" spans="1:9" s="19" customFormat="1" ht="15.75" x14ac:dyDescent="0.25">
      <c r="A16" s="45">
        <v>195</v>
      </c>
      <c r="B16" s="57">
        <v>100235466823</v>
      </c>
      <c r="C16" s="58" t="s">
        <v>34</v>
      </c>
      <c r="D16" s="75" t="s">
        <v>35</v>
      </c>
      <c r="E16" s="75">
        <v>30</v>
      </c>
      <c r="F16" s="75">
        <v>5500</v>
      </c>
      <c r="G16" s="75">
        <v>5500</v>
      </c>
      <c r="H16" s="61">
        <f t="shared" si="1"/>
        <v>660</v>
      </c>
      <c r="I16" s="21">
        <f t="shared" si="0"/>
        <v>660</v>
      </c>
    </row>
    <row r="17" spans="1:256" s="19" customFormat="1" ht="16.5" customHeight="1" x14ac:dyDescent="0.25">
      <c r="A17" s="45">
        <v>199</v>
      </c>
      <c r="B17" s="57">
        <v>100232183759</v>
      </c>
      <c r="C17" s="58" t="s">
        <v>36</v>
      </c>
      <c r="D17" s="76" t="s">
        <v>36</v>
      </c>
      <c r="E17" s="45">
        <v>30</v>
      </c>
      <c r="F17" s="57">
        <v>6400</v>
      </c>
      <c r="G17" s="57">
        <v>6400</v>
      </c>
      <c r="H17" s="61">
        <f t="shared" si="1"/>
        <v>768</v>
      </c>
      <c r="I17" s="44"/>
      <c r="J17" s="16"/>
      <c r="K17" s="17"/>
      <c r="L17" s="52"/>
      <c r="M17" s="44"/>
      <c r="N17" s="16"/>
      <c r="O17" s="17"/>
      <c r="P17" s="52"/>
      <c r="Q17" s="44"/>
      <c r="R17" s="16"/>
      <c r="S17" s="17"/>
      <c r="T17" s="52"/>
      <c r="U17" s="44"/>
      <c r="V17" s="16"/>
      <c r="W17" s="17"/>
      <c r="X17" s="52"/>
      <c r="Y17" s="44"/>
      <c r="Z17" s="16"/>
      <c r="AA17" s="17"/>
      <c r="AB17" s="52"/>
      <c r="AC17" s="44"/>
      <c r="AD17" s="16"/>
      <c r="AE17" s="17"/>
      <c r="AF17" s="52"/>
      <c r="AG17" s="44"/>
      <c r="AH17" s="16"/>
      <c r="AI17" s="17"/>
      <c r="AJ17" s="52"/>
      <c r="AK17" s="44"/>
      <c r="AL17" s="16"/>
      <c r="AM17" s="17"/>
      <c r="AN17" s="52"/>
      <c r="AO17" s="44"/>
      <c r="AP17" s="16"/>
      <c r="AQ17" s="17"/>
      <c r="AR17" s="52"/>
      <c r="AS17" s="44"/>
      <c r="AT17" s="16"/>
      <c r="AU17" s="17"/>
      <c r="AV17" s="52"/>
      <c r="AW17" s="44"/>
      <c r="AX17" s="16"/>
      <c r="AY17" s="17"/>
      <c r="AZ17" s="52"/>
      <c r="BA17" s="44"/>
      <c r="BB17" s="16"/>
      <c r="BC17" s="17"/>
      <c r="BD17" s="52"/>
      <c r="BE17" s="44"/>
      <c r="BF17" s="16"/>
      <c r="BG17" s="17"/>
      <c r="BH17" s="52"/>
      <c r="BI17" s="44"/>
      <c r="BJ17" s="16"/>
      <c r="BK17" s="17"/>
      <c r="BL17" s="52"/>
      <c r="BM17" s="44"/>
      <c r="BN17" s="16"/>
      <c r="BO17" s="17"/>
      <c r="BP17" s="52"/>
      <c r="BQ17" s="44"/>
      <c r="BR17" s="16"/>
      <c r="BS17" s="17"/>
      <c r="BT17" s="52"/>
      <c r="BU17" s="44"/>
      <c r="BV17" s="16"/>
      <c r="BW17" s="17"/>
      <c r="BX17" s="52"/>
      <c r="BY17" s="44"/>
      <c r="BZ17" s="16"/>
      <c r="CA17" s="17"/>
      <c r="CB17" s="52"/>
      <c r="CC17" s="44">
        <v>199</v>
      </c>
      <c r="CD17" s="16">
        <v>100232183759</v>
      </c>
      <c r="CE17" s="17" t="s">
        <v>36</v>
      </c>
      <c r="CF17" s="52" t="s">
        <v>36</v>
      </c>
      <c r="CG17" s="44">
        <v>199</v>
      </c>
      <c r="CH17" s="16">
        <v>100232183759</v>
      </c>
      <c r="CI17" s="17" t="s">
        <v>36</v>
      </c>
      <c r="CJ17" s="52" t="s">
        <v>36</v>
      </c>
      <c r="CK17" s="44">
        <v>199</v>
      </c>
      <c r="CL17" s="16">
        <v>100232183759</v>
      </c>
      <c r="CM17" s="17" t="s">
        <v>36</v>
      </c>
      <c r="CN17" s="52" t="s">
        <v>36</v>
      </c>
      <c r="CO17" s="44">
        <v>199</v>
      </c>
      <c r="CP17" s="16">
        <v>100232183759</v>
      </c>
      <c r="CQ17" s="17" t="s">
        <v>36</v>
      </c>
      <c r="CR17" s="52" t="s">
        <v>36</v>
      </c>
      <c r="CS17" s="44">
        <v>199</v>
      </c>
      <c r="CT17" s="16">
        <v>100232183759</v>
      </c>
      <c r="CU17" s="17" t="s">
        <v>36</v>
      </c>
      <c r="CV17" s="52" t="s">
        <v>36</v>
      </c>
      <c r="CW17" s="44">
        <v>199</v>
      </c>
      <c r="CX17" s="16">
        <v>100232183759</v>
      </c>
      <c r="CY17" s="17" t="s">
        <v>36</v>
      </c>
      <c r="CZ17" s="52" t="s">
        <v>36</v>
      </c>
      <c r="DA17" s="44">
        <v>199</v>
      </c>
      <c r="DB17" s="16">
        <v>100232183759</v>
      </c>
      <c r="DC17" s="17" t="s">
        <v>36</v>
      </c>
      <c r="DD17" s="52" t="s">
        <v>36</v>
      </c>
      <c r="DE17" s="44">
        <v>199</v>
      </c>
      <c r="DF17" s="16">
        <v>100232183759</v>
      </c>
      <c r="DG17" s="17" t="s">
        <v>36</v>
      </c>
      <c r="DH17" s="52" t="s">
        <v>36</v>
      </c>
      <c r="DI17" s="44">
        <v>199</v>
      </c>
      <c r="DJ17" s="16">
        <v>100232183759</v>
      </c>
      <c r="DK17" s="17" t="s">
        <v>36</v>
      </c>
      <c r="DL17" s="52" t="s">
        <v>36</v>
      </c>
      <c r="DM17" s="44">
        <v>199</v>
      </c>
      <c r="DN17" s="16">
        <v>100232183759</v>
      </c>
      <c r="DO17" s="17" t="s">
        <v>36</v>
      </c>
      <c r="DP17" s="52" t="s">
        <v>36</v>
      </c>
      <c r="DQ17" s="44">
        <v>199</v>
      </c>
      <c r="DR17" s="16">
        <v>100232183759</v>
      </c>
      <c r="DS17" s="17" t="s">
        <v>36</v>
      </c>
      <c r="DT17" s="52" t="s">
        <v>36</v>
      </c>
      <c r="DU17" s="44">
        <v>199</v>
      </c>
      <c r="DV17" s="16">
        <v>100232183759</v>
      </c>
      <c r="DW17" s="17" t="s">
        <v>36</v>
      </c>
      <c r="DX17" s="52" t="s">
        <v>36</v>
      </c>
      <c r="DY17" s="44">
        <v>199</v>
      </c>
      <c r="DZ17" s="16">
        <v>100232183759</v>
      </c>
      <c r="EA17" s="17" t="s">
        <v>36</v>
      </c>
      <c r="EB17" s="52" t="s">
        <v>36</v>
      </c>
      <c r="EC17" s="44">
        <v>199</v>
      </c>
      <c r="ED17" s="16">
        <v>100232183759</v>
      </c>
      <c r="EE17" s="17" t="s">
        <v>36</v>
      </c>
      <c r="EF17" s="52" t="s">
        <v>36</v>
      </c>
      <c r="EG17" s="44">
        <v>199</v>
      </c>
      <c r="EH17" s="16">
        <v>100232183759</v>
      </c>
      <c r="EI17" s="17" t="s">
        <v>36</v>
      </c>
      <c r="EJ17" s="52" t="s">
        <v>36</v>
      </c>
      <c r="EK17" s="44">
        <v>199</v>
      </c>
      <c r="EL17" s="16">
        <v>100232183759</v>
      </c>
      <c r="EM17" s="17" t="s">
        <v>36</v>
      </c>
      <c r="EN17" s="52" t="s">
        <v>36</v>
      </c>
      <c r="EO17" s="44">
        <v>199</v>
      </c>
      <c r="EP17" s="16">
        <v>100232183759</v>
      </c>
      <c r="EQ17" s="17" t="s">
        <v>36</v>
      </c>
      <c r="ER17" s="52" t="s">
        <v>36</v>
      </c>
      <c r="ES17" s="44">
        <v>199</v>
      </c>
      <c r="ET17" s="16">
        <v>100232183759</v>
      </c>
      <c r="EU17" s="17" t="s">
        <v>36</v>
      </c>
      <c r="EV17" s="52" t="s">
        <v>36</v>
      </c>
      <c r="EW17" s="44">
        <v>199</v>
      </c>
      <c r="EX17" s="16">
        <v>100232183759</v>
      </c>
      <c r="EY17" s="17" t="s">
        <v>36</v>
      </c>
      <c r="EZ17" s="52" t="s">
        <v>36</v>
      </c>
      <c r="FA17" s="44">
        <v>199</v>
      </c>
      <c r="FB17" s="16">
        <v>100232183759</v>
      </c>
      <c r="FC17" s="17" t="s">
        <v>36</v>
      </c>
      <c r="FD17" s="52" t="s">
        <v>36</v>
      </c>
      <c r="FE17" s="44">
        <v>199</v>
      </c>
      <c r="FF17" s="16">
        <v>100232183759</v>
      </c>
      <c r="FG17" s="17" t="s">
        <v>36</v>
      </c>
      <c r="FH17" s="52" t="s">
        <v>36</v>
      </c>
      <c r="FI17" s="44">
        <v>199</v>
      </c>
      <c r="FJ17" s="16">
        <v>100232183759</v>
      </c>
      <c r="FK17" s="17" t="s">
        <v>36</v>
      </c>
      <c r="FL17" s="52" t="s">
        <v>36</v>
      </c>
      <c r="FM17" s="44">
        <v>199</v>
      </c>
      <c r="FN17" s="16">
        <v>100232183759</v>
      </c>
      <c r="FO17" s="17" t="s">
        <v>36</v>
      </c>
      <c r="FP17" s="52" t="s">
        <v>36</v>
      </c>
      <c r="FQ17" s="44">
        <v>199</v>
      </c>
      <c r="FR17" s="16">
        <v>100232183759</v>
      </c>
      <c r="FS17" s="17" t="s">
        <v>36</v>
      </c>
      <c r="FT17" s="52" t="s">
        <v>36</v>
      </c>
      <c r="FU17" s="44">
        <v>199</v>
      </c>
      <c r="FV17" s="16">
        <v>100232183759</v>
      </c>
      <c r="FW17" s="17" t="s">
        <v>36</v>
      </c>
      <c r="FX17" s="52" t="s">
        <v>36</v>
      </c>
      <c r="FY17" s="44">
        <v>199</v>
      </c>
      <c r="FZ17" s="16">
        <v>100232183759</v>
      </c>
      <c r="GA17" s="17" t="s">
        <v>36</v>
      </c>
      <c r="GB17" s="52" t="s">
        <v>36</v>
      </c>
      <c r="GC17" s="44">
        <v>199</v>
      </c>
      <c r="GD17" s="16">
        <v>100232183759</v>
      </c>
      <c r="GE17" s="17" t="s">
        <v>36</v>
      </c>
      <c r="GF17" s="52" t="s">
        <v>36</v>
      </c>
      <c r="GG17" s="44">
        <v>199</v>
      </c>
      <c r="GH17" s="16">
        <v>100232183759</v>
      </c>
      <c r="GI17" s="17" t="s">
        <v>36</v>
      </c>
      <c r="GJ17" s="52" t="s">
        <v>36</v>
      </c>
      <c r="GK17" s="44">
        <v>199</v>
      </c>
      <c r="GL17" s="16">
        <v>100232183759</v>
      </c>
      <c r="GM17" s="17" t="s">
        <v>36</v>
      </c>
      <c r="GN17" s="52" t="s">
        <v>36</v>
      </c>
      <c r="GO17" s="44">
        <v>199</v>
      </c>
      <c r="GP17" s="16">
        <v>100232183759</v>
      </c>
      <c r="GQ17" s="17" t="s">
        <v>36</v>
      </c>
      <c r="GR17" s="52" t="s">
        <v>36</v>
      </c>
      <c r="GS17" s="44">
        <v>199</v>
      </c>
      <c r="GT17" s="16">
        <v>100232183759</v>
      </c>
      <c r="GU17" s="17" t="s">
        <v>36</v>
      </c>
      <c r="GV17" s="52" t="s">
        <v>36</v>
      </c>
      <c r="GW17" s="44">
        <v>199</v>
      </c>
      <c r="GX17" s="16">
        <v>100232183759</v>
      </c>
      <c r="GY17" s="17" t="s">
        <v>36</v>
      </c>
      <c r="GZ17" s="52" t="s">
        <v>36</v>
      </c>
      <c r="HA17" s="44">
        <v>199</v>
      </c>
      <c r="HB17" s="16">
        <v>100232183759</v>
      </c>
      <c r="HC17" s="17" t="s">
        <v>36</v>
      </c>
      <c r="HD17" s="52" t="s">
        <v>36</v>
      </c>
      <c r="HE17" s="44">
        <v>199</v>
      </c>
      <c r="HF17" s="16">
        <v>100232183759</v>
      </c>
      <c r="HG17" s="17" t="s">
        <v>36</v>
      </c>
      <c r="HH17" s="52" t="s">
        <v>36</v>
      </c>
      <c r="HI17" s="44">
        <v>199</v>
      </c>
      <c r="HJ17" s="16">
        <v>100232183759</v>
      </c>
      <c r="HK17" s="17" t="s">
        <v>36</v>
      </c>
      <c r="HL17" s="52" t="s">
        <v>36</v>
      </c>
      <c r="HM17" s="44">
        <v>199</v>
      </c>
      <c r="HN17" s="16">
        <v>100232183759</v>
      </c>
      <c r="HO17" s="17" t="s">
        <v>36</v>
      </c>
      <c r="HP17" s="52" t="s">
        <v>36</v>
      </c>
      <c r="HQ17" s="44">
        <v>199</v>
      </c>
      <c r="HR17" s="16">
        <v>100232183759</v>
      </c>
      <c r="HS17" s="17" t="s">
        <v>36</v>
      </c>
      <c r="HT17" s="52" t="s">
        <v>36</v>
      </c>
      <c r="HU17" s="44">
        <v>199</v>
      </c>
      <c r="HV17" s="16">
        <v>100232183759</v>
      </c>
      <c r="HW17" s="17" t="s">
        <v>36</v>
      </c>
      <c r="HX17" s="52" t="s">
        <v>36</v>
      </c>
      <c r="HY17" s="44">
        <v>199</v>
      </c>
      <c r="HZ17" s="16">
        <v>100232183759</v>
      </c>
      <c r="IA17" s="17" t="s">
        <v>36</v>
      </c>
      <c r="IB17" s="52" t="s">
        <v>36</v>
      </c>
      <c r="IC17" s="44">
        <v>199</v>
      </c>
      <c r="ID17" s="16">
        <v>100232183759</v>
      </c>
      <c r="IE17" s="17" t="s">
        <v>36</v>
      </c>
      <c r="IF17" s="52" t="s">
        <v>36</v>
      </c>
      <c r="IG17" s="44">
        <v>199</v>
      </c>
      <c r="IH17" s="16">
        <v>100232183759</v>
      </c>
      <c r="II17" s="17" t="s">
        <v>36</v>
      </c>
      <c r="IJ17" s="52" t="s">
        <v>36</v>
      </c>
      <c r="IK17" s="44">
        <v>199</v>
      </c>
      <c r="IL17" s="16">
        <v>100232183759</v>
      </c>
      <c r="IM17" s="17" t="s">
        <v>36</v>
      </c>
      <c r="IN17" s="52" t="s">
        <v>36</v>
      </c>
      <c r="IO17" s="44">
        <v>199</v>
      </c>
      <c r="IP17" s="16">
        <v>100232183759</v>
      </c>
      <c r="IQ17" s="17" t="s">
        <v>36</v>
      </c>
      <c r="IR17" s="52" t="s">
        <v>36</v>
      </c>
      <c r="IS17" s="44">
        <v>199</v>
      </c>
      <c r="IT17" s="16">
        <v>100232183759</v>
      </c>
      <c r="IU17" s="17" t="s">
        <v>36</v>
      </c>
      <c r="IV17" s="52" t="s">
        <v>36</v>
      </c>
    </row>
    <row r="18" spans="1:256" s="19" customFormat="1" ht="30" x14ac:dyDescent="0.25">
      <c r="A18" s="45">
        <v>204</v>
      </c>
      <c r="B18" s="57">
        <v>100232169483</v>
      </c>
      <c r="C18" s="58" t="s">
        <v>37</v>
      </c>
      <c r="D18" s="75" t="s">
        <v>38</v>
      </c>
      <c r="E18" s="50">
        <v>30</v>
      </c>
      <c r="F18" s="50">
        <v>5500</v>
      </c>
      <c r="G18" s="50">
        <v>5500</v>
      </c>
      <c r="H18" s="61">
        <f t="shared" si="1"/>
        <v>660</v>
      </c>
      <c r="I18" s="21">
        <f t="shared" si="0"/>
        <v>660</v>
      </c>
    </row>
    <row r="19" spans="1:256" s="19" customFormat="1" ht="15.75" x14ac:dyDescent="0.25">
      <c r="A19" s="45">
        <v>224</v>
      </c>
      <c r="B19" s="57">
        <v>100112371371</v>
      </c>
      <c r="C19" s="58" t="s">
        <v>39</v>
      </c>
      <c r="D19" s="77" t="s">
        <v>40</v>
      </c>
      <c r="E19" s="75">
        <v>30</v>
      </c>
      <c r="F19" s="77">
        <v>5500</v>
      </c>
      <c r="G19" s="77">
        <v>5500</v>
      </c>
      <c r="H19" s="61">
        <f t="shared" si="1"/>
        <v>660</v>
      </c>
      <c r="I19" s="21">
        <f>G19*12/100</f>
        <v>660</v>
      </c>
    </row>
    <row r="20" spans="1:256" s="19" customFormat="1" ht="15.75" x14ac:dyDescent="0.25">
      <c r="A20" s="45">
        <v>252</v>
      </c>
      <c r="B20" s="57">
        <v>100373345016</v>
      </c>
      <c r="C20" s="58" t="s">
        <v>43</v>
      </c>
      <c r="D20" s="79" t="s">
        <v>44</v>
      </c>
      <c r="E20" s="77">
        <v>30</v>
      </c>
      <c r="F20" s="80">
        <v>5500</v>
      </c>
      <c r="G20" s="80">
        <v>5500</v>
      </c>
      <c r="H20" s="61">
        <f t="shared" si="1"/>
        <v>660</v>
      </c>
      <c r="I20" s="21">
        <f>G20*12/100</f>
        <v>660</v>
      </c>
    </row>
    <row r="21" spans="1:256" s="19" customFormat="1" ht="15.75" x14ac:dyDescent="0.25">
      <c r="A21" s="45">
        <v>269</v>
      </c>
      <c r="B21" s="57">
        <v>100353847332</v>
      </c>
      <c r="C21" s="58" t="s">
        <v>46</v>
      </c>
      <c r="D21" s="83" t="s">
        <v>47</v>
      </c>
      <c r="E21" s="83">
        <v>30</v>
      </c>
      <c r="F21" s="84">
        <v>5500</v>
      </c>
      <c r="G21" s="84">
        <v>5500</v>
      </c>
      <c r="H21" s="61">
        <f t="shared" si="1"/>
        <v>660</v>
      </c>
      <c r="I21" s="21">
        <f t="shared" ref="I21:I44" si="2">G21*12/100</f>
        <v>660</v>
      </c>
    </row>
    <row r="22" spans="1:256" s="19" customFormat="1" ht="15.75" x14ac:dyDescent="0.25">
      <c r="A22" s="45">
        <v>309</v>
      </c>
      <c r="B22" s="57">
        <v>100353888563</v>
      </c>
      <c r="C22" s="58" t="s">
        <v>48</v>
      </c>
      <c r="D22" s="85" t="s">
        <v>48</v>
      </c>
      <c r="E22" s="83">
        <v>30</v>
      </c>
      <c r="F22" s="84">
        <v>5500</v>
      </c>
      <c r="G22" s="84">
        <v>5500</v>
      </c>
      <c r="H22" s="61">
        <f t="shared" si="1"/>
        <v>660</v>
      </c>
      <c r="I22" s="21"/>
    </row>
    <row r="23" spans="1:256" s="19" customFormat="1" ht="15.75" x14ac:dyDescent="0.25">
      <c r="A23" s="45">
        <v>324</v>
      </c>
      <c r="B23" s="57">
        <v>100366458827</v>
      </c>
      <c r="C23" s="58" t="s">
        <v>51</v>
      </c>
      <c r="D23" s="87" t="s">
        <v>52</v>
      </c>
      <c r="E23" s="88">
        <v>30</v>
      </c>
      <c r="F23" s="89">
        <v>5500</v>
      </c>
      <c r="G23" s="89">
        <v>5500</v>
      </c>
      <c r="H23" s="61">
        <f t="shared" si="1"/>
        <v>660</v>
      </c>
      <c r="I23" s="21">
        <f t="shared" si="2"/>
        <v>660</v>
      </c>
    </row>
    <row r="24" spans="1:256" s="19" customFormat="1" ht="26.25" x14ac:dyDescent="0.25">
      <c r="A24" s="45">
        <v>326</v>
      </c>
      <c r="B24" s="57">
        <v>100353855918</v>
      </c>
      <c r="C24" s="58" t="s">
        <v>53</v>
      </c>
      <c r="D24" s="90" t="s">
        <v>54</v>
      </c>
      <c r="E24" s="88">
        <v>30</v>
      </c>
      <c r="F24" s="89">
        <v>5500</v>
      </c>
      <c r="G24" s="89">
        <v>5500</v>
      </c>
      <c r="H24" s="61">
        <f t="shared" si="1"/>
        <v>660</v>
      </c>
      <c r="I24" s="21">
        <f t="shared" si="2"/>
        <v>660</v>
      </c>
    </row>
    <row r="25" spans="1:256" s="19" customFormat="1" ht="15.75" x14ac:dyDescent="0.25">
      <c r="A25" s="45">
        <v>337</v>
      </c>
      <c r="B25" s="57">
        <v>100353650100</v>
      </c>
      <c r="C25" s="58" t="s">
        <v>57</v>
      </c>
      <c r="D25" s="92" t="s">
        <v>58</v>
      </c>
      <c r="E25" s="88">
        <v>30</v>
      </c>
      <c r="F25" s="89">
        <v>5500</v>
      </c>
      <c r="G25" s="89">
        <v>5500</v>
      </c>
      <c r="H25" s="61">
        <f t="shared" si="1"/>
        <v>660</v>
      </c>
      <c r="I25" s="21">
        <f t="shared" si="2"/>
        <v>660</v>
      </c>
    </row>
    <row r="26" spans="1:256" s="19" customFormat="1" ht="15.75" x14ac:dyDescent="0.25">
      <c r="A26" s="45">
        <v>372</v>
      </c>
      <c r="B26" s="57">
        <v>100091836225</v>
      </c>
      <c r="C26" s="58" t="s">
        <v>63</v>
      </c>
      <c r="D26" s="95" t="s">
        <v>64</v>
      </c>
      <c r="E26" s="83">
        <v>30</v>
      </c>
      <c r="F26" s="96">
        <v>5500</v>
      </c>
      <c r="G26" s="96">
        <v>5500</v>
      </c>
      <c r="H26" s="61">
        <f t="shared" si="1"/>
        <v>660</v>
      </c>
      <c r="I26" s="21">
        <f t="shared" si="2"/>
        <v>660</v>
      </c>
    </row>
    <row r="27" spans="1:256" s="19" customFormat="1" ht="15.75" x14ac:dyDescent="0.25">
      <c r="A27" s="45">
        <v>378</v>
      </c>
      <c r="B27" s="57">
        <v>100283282515</v>
      </c>
      <c r="C27" s="58" t="s">
        <v>65</v>
      </c>
      <c r="D27" s="95" t="s">
        <v>65</v>
      </c>
      <c r="E27" s="83">
        <v>30</v>
      </c>
      <c r="F27" s="89">
        <v>5500</v>
      </c>
      <c r="G27" s="89">
        <v>5500</v>
      </c>
      <c r="H27" s="61">
        <f t="shared" si="1"/>
        <v>660</v>
      </c>
      <c r="I27" s="21">
        <f t="shared" si="2"/>
        <v>660</v>
      </c>
    </row>
    <row r="28" spans="1:256" s="19" customFormat="1" ht="15.75" x14ac:dyDescent="0.25">
      <c r="A28" s="45">
        <v>390</v>
      </c>
      <c r="B28" s="57">
        <v>100353938598</v>
      </c>
      <c r="C28" s="58" t="s">
        <v>66</v>
      </c>
      <c r="D28" s="92" t="s">
        <v>67</v>
      </c>
      <c r="E28" s="83">
        <v>30</v>
      </c>
      <c r="F28" s="88">
        <v>5500</v>
      </c>
      <c r="G28" s="88">
        <v>5500</v>
      </c>
      <c r="H28" s="61">
        <f t="shared" si="1"/>
        <v>660</v>
      </c>
      <c r="I28" s="21">
        <f t="shared" si="2"/>
        <v>660</v>
      </c>
    </row>
    <row r="29" spans="1:256" s="19" customFormat="1" ht="15.75" x14ac:dyDescent="0.25">
      <c r="A29" s="45">
        <v>400</v>
      </c>
      <c r="B29" s="57">
        <v>100358397938</v>
      </c>
      <c r="C29" s="58" t="s">
        <v>70</v>
      </c>
      <c r="D29" s="98" t="s">
        <v>71</v>
      </c>
      <c r="E29" s="83">
        <v>30</v>
      </c>
      <c r="F29" s="88">
        <v>5500</v>
      </c>
      <c r="G29" s="88">
        <v>5500</v>
      </c>
      <c r="H29" s="61">
        <f t="shared" si="1"/>
        <v>660</v>
      </c>
      <c r="I29" s="21">
        <f t="shared" si="2"/>
        <v>660</v>
      </c>
    </row>
    <row r="30" spans="1:256" s="19" customFormat="1" ht="18" x14ac:dyDescent="0.25">
      <c r="A30" s="45">
        <v>415</v>
      </c>
      <c r="B30" s="57">
        <v>100358404005</v>
      </c>
      <c r="C30" s="58" t="s">
        <v>72</v>
      </c>
      <c r="D30" s="99" t="s">
        <v>73</v>
      </c>
      <c r="E30" s="83">
        <v>30</v>
      </c>
      <c r="F30" s="88">
        <v>2000</v>
      </c>
      <c r="G30" s="88">
        <v>2000</v>
      </c>
      <c r="H30" s="61">
        <f t="shared" si="1"/>
        <v>240</v>
      </c>
      <c r="I30" s="21"/>
    </row>
    <row r="31" spans="1:256" s="19" customFormat="1" ht="16.5" x14ac:dyDescent="0.25">
      <c r="A31" s="45">
        <v>434</v>
      </c>
      <c r="B31" s="57">
        <v>100353735967</v>
      </c>
      <c r="C31" s="58" t="s">
        <v>75</v>
      </c>
      <c r="D31" s="100" t="s">
        <v>76</v>
      </c>
      <c r="E31" s="83">
        <v>30</v>
      </c>
      <c r="F31" s="54">
        <v>5500</v>
      </c>
      <c r="G31" s="54">
        <v>5500</v>
      </c>
      <c r="H31" s="61">
        <f t="shared" si="1"/>
        <v>660</v>
      </c>
      <c r="I31" s="21">
        <f t="shared" si="2"/>
        <v>660</v>
      </c>
    </row>
    <row r="32" spans="1:256" s="19" customFormat="1" ht="16.5" x14ac:dyDescent="0.25">
      <c r="A32" s="45">
        <v>435</v>
      </c>
      <c r="B32" s="57">
        <v>100358401923</v>
      </c>
      <c r="C32" s="58" t="s">
        <v>77</v>
      </c>
      <c r="D32" s="100" t="s">
        <v>78</v>
      </c>
      <c r="E32" s="83">
        <v>30</v>
      </c>
      <c r="F32" s="54">
        <v>1000</v>
      </c>
      <c r="G32" s="54">
        <v>1000</v>
      </c>
      <c r="H32" s="61">
        <f t="shared" si="1"/>
        <v>120</v>
      </c>
      <c r="I32" s="21">
        <f t="shared" si="2"/>
        <v>120</v>
      </c>
    </row>
    <row r="33" spans="1:9" s="19" customFormat="1" ht="18" x14ac:dyDescent="0.25">
      <c r="A33" s="45">
        <v>443</v>
      </c>
      <c r="B33" s="57">
        <v>100205552698</v>
      </c>
      <c r="C33" s="58" t="s">
        <v>79</v>
      </c>
      <c r="D33" s="101" t="s">
        <v>80</v>
      </c>
      <c r="E33" s="83">
        <v>30</v>
      </c>
      <c r="F33" s="102">
        <v>5500</v>
      </c>
      <c r="G33" s="102">
        <v>5500</v>
      </c>
      <c r="H33" s="61">
        <f t="shared" si="1"/>
        <v>660</v>
      </c>
      <c r="I33" s="21">
        <f t="shared" si="2"/>
        <v>660</v>
      </c>
    </row>
    <row r="34" spans="1:9" s="19" customFormat="1" ht="33" x14ac:dyDescent="0.25">
      <c r="A34" s="45">
        <v>447</v>
      </c>
      <c r="B34" s="57">
        <v>100134159284</v>
      </c>
      <c r="C34" s="58" t="s">
        <v>81</v>
      </c>
      <c r="D34" s="103" t="s">
        <v>81</v>
      </c>
      <c r="E34" s="83">
        <v>30</v>
      </c>
      <c r="F34" s="103">
        <v>5500</v>
      </c>
      <c r="G34" s="103">
        <v>5500</v>
      </c>
      <c r="H34" s="61">
        <f t="shared" si="1"/>
        <v>660</v>
      </c>
      <c r="I34" s="21">
        <f t="shared" si="2"/>
        <v>660</v>
      </c>
    </row>
    <row r="35" spans="1:9" s="19" customFormat="1" ht="15.75" x14ac:dyDescent="0.25">
      <c r="A35" s="45">
        <v>451</v>
      </c>
      <c r="B35" s="57">
        <v>100162007981</v>
      </c>
      <c r="C35" s="58" t="s">
        <v>82</v>
      </c>
      <c r="D35" s="51" t="s">
        <v>83</v>
      </c>
      <c r="E35" s="83">
        <v>30</v>
      </c>
      <c r="F35" s="104">
        <v>3195</v>
      </c>
      <c r="G35" s="104">
        <v>3195</v>
      </c>
      <c r="H35" s="61">
        <f t="shared" si="1"/>
        <v>383.4</v>
      </c>
      <c r="I35" s="21">
        <f t="shared" si="2"/>
        <v>383.4</v>
      </c>
    </row>
    <row r="36" spans="1:9" s="19" customFormat="1" ht="18" x14ac:dyDescent="0.25">
      <c r="A36" s="45">
        <v>466</v>
      </c>
      <c r="B36" s="57">
        <v>100232175087</v>
      </c>
      <c r="C36" s="58" t="s">
        <v>85</v>
      </c>
      <c r="D36" s="106" t="s">
        <v>86</v>
      </c>
      <c r="E36" s="83">
        <v>30</v>
      </c>
      <c r="F36" s="107">
        <v>3195</v>
      </c>
      <c r="G36" s="107">
        <v>3195</v>
      </c>
      <c r="H36" s="61">
        <f t="shared" si="1"/>
        <v>383.4</v>
      </c>
      <c r="I36" s="21">
        <f t="shared" si="2"/>
        <v>383.4</v>
      </c>
    </row>
    <row r="37" spans="1:9" s="19" customFormat="1" ht="15.75" x14ac:dyDescent="0.25">
      <c r="A37" s="45">
        <v>481</v>
      </c>
      <c r="B37" s="57">
        <v>100358411358</v>
      </c>
      <c r="C37" s="58" t="s">
        <v>88</v>
      </c>
      <c r="D37" s="108" t="s">
        <v>87</v>
      </c>
      <c r="E37" s="83">
        <v>30</v>
      </c>
      <c r="F37" s="109">
        <v>5500</v>
      </c>
      <c r="G37" s="109">
        <v>5500</v>
      </c>
      <c r="H37" s="61">
        <f t="shared" si="1"/>
        <v>660</v>
      </c>
      <c r="I37" s="21">
        <f t="shared" si="2"/>
        <v>660</v>
      </c>
    </row>
    <row r="38" spans="1:9" s="19" customFormat="1" ht="15.75" x14ac:dyDescent="0.25">
      <c r="A38" s="45">
        <v>482</v>
      </c>
      <c r="B38" s="57">
        <v>100353504634</v>
      </c>
      <c r="C38" s="58" t="s">
        <v>90</v>
      </c>
      <c r="D38" s="108" t="s">
        <v>89</v>
      </c>
      <c r="E38" s="83">
        <v>30</v>
      </c>
      <c r="F38" s="109">
        <v>5500</v>
      </c>
      <c r="G38" s="109">
        <v>5500</v>
      </c>
      <c r="H38" s="61">
        <f t="shared" si="1"/>
        <v>660</v>
      </c>
      <c r="I38" s="21">
        <f t="shared" si="2"/>
        <v>660</v>
      </c>
    </row>
    <row r="39" spans="1:9" s="19" customFormat="1" ht="15.75" x14ac:dyDescent="0.25">
      <c r="A39" s="45">
        <v>483</v>
      </c>
      <c r="B39" s="57">
        <v>100353780044</v>
      </c>
      <c r="C39" s="58" t="s">
        <v>92</v>
      </c>
      <c r="D39" s="108" t="s">
        <v>91</v>
      </c>
      <c r="E39" s="83">
        <v>30</v>
      </c>
      <c r="F39" s="109">
        <v>5500</v>
      </c>
      <c r="G39" s="109">
        <v>5500</v>
      </c>
      <c r="H39" s="61">
        <f t="shared" si="1"/>
        <v>660</v>
      </c>
      <c r="I39" s="21">
        <f t="shared" si="2"/>
        <v>660</v>
      </c>
    </row>
    <row r="40" spans="1:9" s="19" customFormat="1" ht="15.75" x14ac:dyDescent="0.25">
      <c r="A40" s="45">
        <v>485</v>
      </c>
      <c r="B40" s="57">
        <v>100236190637</v>
      </c>
      <c r="C40" s="58" t="s">
        <v>94</v>
      </c>
      <c r="D40" s="108" t="s">
        <v>93</v>
      </c>
      <c r="E40" s="83">
        <v>30</v>
      </c>
      <c r="F40" s="109">
        <v>5500</v>
      </c>
      <c r="G40" s="109">
        <v>5500</v>
      </c>
      <c r="H40" s="61">
        <f t="shared" si="1"/>
        <v>660</v>
      </c>
      <c r="I40" s="21">
        <f t="shared" si="2"/>
        <v>660</v>
      </c>
    </row>
    <row r="41" spans="1:9" s="42" customFormat="1" ht="15.75" x14ac:dyDescent="0.25">
      <c r="A41" s="45">
        <v>487</v>
      </c>
      <c r="B41" s="57">
        <v>100358418267</v>
      </c>
      <c r="C41" s="58" t="s">
        <v>96</v>
      </c>
      <c r="D41" s="108" t="s">
        <v>95</v>
      </c>
      <c r="E41" s="83">
        <v>30</v>
      </c>
      <c r="F41" s="109">
        <v>3475</v>
      </c>
      <c r="G41" s="109">
        <v>3475</v>
      </c>
      <c r="H41" s="61">
        <f t="shared" si="1"/>
        <v>417</v>
      </c>
      <c r="I41" s="21">
        <f t="shared" si="2"/>
        <v>417</v>
      </c>
    </row>
    <row r="42" spans="1:9" s="19" customFormat="1" ht="15.75" x14ac:dyDescent="0.25">
      <c r="A42" s="45">
        <v>491</v>
      </c>
      <c r="B42" s="57">
        <v>100353509071</v>
      </c>
      <c r="C42" s="58" t="s">
        <v>97</v>
      </c>
      <c r="D42" s="58" t="s">
        <v>97</v>
      </c>
      <c r="E42" s="83">
        <v>30</v>
      </c>
      <c r="F42" s="110">
        <v>3195</v>
      </c>
      <c r="G42" s="110">
        <v>3195</v>
      </c>
      <c r="H42" s="61">
        <f t="shared" si="1"/>
        <v>383.4</v>
      </c>
      <c r="I42" s="21">
        <f t="shared" si="2"/>
        <v>383.4</v>
      </c>
    </row>
    <row r="43" spans="1:9" s="19" customFormat="1" ht="15.75" x14ac:dyDescent="0.25">
      <c r="A43" s="45">
        <v>492</v>
      </c>
      <c r="B43" s="57">
        <v>100353508759</v>
      </c>
      <c r="C43" s="58" t="s">
        <v>98</v>
      </c>
      <c r="D43" s="58" t="s">
        <v>98</v>
      </c>
      <c r="E43" s="83">
        <v>30</v>
      </c>
      <c r="F43" s="110">
        <v>3195</v>
      </c>
      <c r="G43" s="110">
        <v>3195</v>
      </c>
      <c r="H43" s="61">
        <f t="shared" si="1"/>
        <v>383.4</v>
      </c>
      <c r="I43" s="21">
        <f t="shared" si="2"/>
        <v>383.4</v>
      </c>
    </row>
    <row r="44" spans="1:9" s="19" customFormat="1" ht="15.75" x14ac:dyDescent="0.25">
      <c r="A44" s="45">
        <v>493</v>
      </c>
      <c r="B44" s="57">
        <v>100353509419</v>
      </c>
      <c r="C44" s="58" t="s">
        <v>99</v>
      </c>
      <c r="D44" s="58" t="s">
        <v>99</v>
      </c>
      <c r="E44" s="83">
        <v>30</v>
      </c>
      <c r="F44" s="110">
        <v>3195</v>
      </c>
      <c r="G44" s="110">
        <v>3195</v>
      </c>
      <c r="H44" s="61">
        <f t="shared" si="1"/>
        <v>383.4</v>
      </c>
      <c r="I44" s="21">
        <f t="shared" si="2"/>
        <v>383.4</v>
      </c>
    </row>
    <row r="45" spans="1:9" s="19" customFormat="1" ht="15.75" x14ac:dyDescent="0.25">
      <c r="A45" s="45">
        <v>496</v>
      </c>
      <c r="B45" s="57">
        <v>100353505607</v>
      </c>
      <c r="C45" s="58" t="s">
        <v>100</v>
      </c>
      <c r="D45" s="58" t="s">
        <v>100</v>
      </c>
      <c r="E45" s="83">
        <v>30</v>
      </c>
      <c r="F45" s="110">
        <v>2000</v>
      </c>
      <c r="G45" s="110">
        <v>2000</v>
      </c>
      <c r="H45" s="61">
        <f t="shared" si="1"/>
        <v>240</v>
      </c>
      <c r="I45" s="21">
        <f>G45*12/100</f>
        <v>240</v>
      </c>
    </row>
    <row r="46" spans="1:9" s="19" customFormat="1" ht="15.75" x14ac:dyDescent="0.25">
      <c r="A46" s="45">
        <v>498</v>
      </c>
      <c r="B46" s="57">
        <v>100353509092</v>
      </c>
      <c r="C46" s="58" t="s">
        <v>101</v>
      </c>
      <c r="D46" s="58" t="s">
        <v>101</v>
      </c>
      <c r="E46" s="83">
        <v>30</v>
      </c>
      <c r="F46" s="110">
        <v>3195</v>
      </c>
      <c r="G46" s="110">
        <v>3195</v>
      </c>
      <c r="H46" s="61">
        <f t="shared" si="1"/>
        <v>383.4</v>
      </c>
      <c r="I46" s="21">
        <f>G46*12/100</f>
        <v>383.4</v>
      </c>
    </row>
    <row r="47" spans="1:9" s="19" customFormat="1" ht="15.75" x14ac:dyDescent="0.25">
      <c r="A47" s="45">
        <v>564</v>
      </c>
      <c r="B47" s="57">
        <v>100358576652</v>
      </c>
      <c r="C47" s="58" t="s">
        <v>104</v>
      </c>
      <c r="D47" s="86" t="s">
        <v>105</v>
      </c>
      <c r="E47" s="83">
        <v>30</v>
      </c>
      <c r="F47" s="112">
        <v>5500</v>
      </c>
      <c r="G47" s="112">
        <v>5500</v>
      </c>
      <c r="H47" s="61">
        <f t="shared" si="1"/>
        <v>660</v>
      </c>
      <c r="I47" s="21" t="e">
        <f>#REF!*12/100</f>
        <v>#REF!</v>
      </c>
    </row>
    <row r="48" spans="1:9" ht="29.25" customHeight="1" x14ac:dyDescent="0.25">
      <c r="A48" s="24"/>
      <c r="B48" s="25"/>
      <c r="C48" s="9"/>
      <c r="D48" s="31"/>
      <c r="E48" s="9"/>
      <c r="F48" s="56">
        <f>SUM(F3:F47)</f>
        <v>199891</v>
      </c>
      <c r="G48" s="56">
        <f>SUM(G3:G47)</f>
        <v>199891</v>
      </c>
      <c r="H48" s="56">
        <f>SUM(H3:H47)</f>
        <v>23986.920000000009</v>
      </c>
      <c r="I48" s="23"/>
    </row>
    <row r="49" spans="1:14" ht="17.25" x14ac:dyDescent="0.25">
      <c r="A49" s="24"/>
      <c r="B49" s="25"/>
      <c r="C49" s="26"/>
      <c r="D49" s="26"/>
      <c r="E49" s="27"/>
      <c r="F49" s="28"/>
      <c r="G49" s="29"/>
      <c r="H49" s="29"/>
      <c r="I49" s="23"/>
    </row>
    <row r="51" spans="1:14" x14ac:dyDescent="0.25">
      <c r="H51" s="36"/>
      <c r="I51" s="37"/>
    </row>
    <row r="52" spans="1:14" x14ac:dyDescent="0.25">
      <c r="A52" s="44"/>
      <c r="B52" s="16"/>
      <c r="C52" s="17"/>
      <c r="D52" s="53"/>
      <c r="E52" s="47"/>
    </row>
    <row r="53" spans="1:14" x14ac:dyDescent="0.25">
      <c r="I53" s="38"/>
    </row>
    <row r="55" spans="1:14" x14ac:dyDescent="0.25">
      <c r="F55" s="39"/>
      <c r="G55" s="39"/>
      <c r="I55" s="38"/>
    </row>
    <row r="57" spans="1:14" x14ac:dyDescent="0.25">
      <c r="F57" s="39"/>
    </row>
    <row r="58" spans="1:14" x14ac:dyDescent="0.25">
      <c r="F58" s="39"/>
    </row>
    <row r="59" spans="1:14" x14ac:dyDescent="0.25">
      <c r="G59" s="39"/>
    </row>
    <row r="60" spans="1:14" x14ac:dyDescent="0.25">
      <c r="F60" s="40"/>
      <c r="G60" s="40"/>
      <c r="I60" s="23"/>
    </row>
    <row r="61" spans="1:14" x14ac:dyDescent="0.25">
      <c r="F61" s="40"/>
      <c r="G61" s="41"/>
    </row>
    <row r="62" spans="1:14" x14ac:dyDescent="0.25">
      <c r="F62" s="40"/>
      <c r="G62" s="40"/>
      <c r="I62" s="23"/>
    </row>
    <row r="63" spans="1:14" ht="25.5" x14ac:dyDescent="0.25">
      <c r="A63" s="18" t="s">
        <v>106</v>
      </c>
      <c r="B63" s="20">
        <v>19250</v>
      </c>
      <c r="C63" s="20">
        <v>13960</v>
      </c>
      <c r="D63" s="20">
        <v>1800</v>
      </c>
      <c r="E63" s="30"/>
      <c r="F63" s="31"/>
      <c r="G63" s="31"/>
      <c r="H63" s="31"/>
      <c r="I63" s="32"/>
      <c r="J63" s="33"/>
      <c r="K63" s="40"/>
      <c r="L63" s="40"/>
      <c r="M63" s="35"/>
      <c r="N63" s="22"/>
    </row>
    <row r="65" spans="2:9" x14ac:dyDescent="0.25">
      <c r="E65" s="33">
        <v>42983</v>
      </c>
      <c r="F65" s="34">
        <v>17783</v>
      </c>
      <c r="G65" s="34">
        <f>E65-F65</f>
        <v>25200</v>
      </c>
    </row>
    <row r="66" spans="2:9" x14ac:dyDescent="0.25">
      <c r="G66" s="34">
        <v>18114</v>
      </c>
    </row>
    <row r="67" spans="2:9" x14ac:dyDescent="0.25">
      <c r="G67" s="34">
        <f>SUM(G65:G66)</f>
        <v>43314</v>
      </c>
      <c r="H67" s="35">
        <v>42728</v>
      </c>
      <c r="I67" s="22">
        <f>G67-H67</f>
        <v>586</v>
      </c>
    </row>
    <row r="71" spans="2:9" s="30" customFormat="1" x14ac:dyDescent="0.25">
      <c r="B71" s="31"/>
      <c r="C71" s="31"/>
      <c r="D71" s="32"/>
      <c r="E71" s="33"/>
      <c r="F71" s="34"/>
      <c r="G71" s="34"/>
      <c r="H71" s="35"/>
      <c r="I71" s="22"/>
    </row>
    <row r="102" spans="2:9" s="30" customFormat="1" x14ac:dyDescent="0.25">
      <c r="B102" s="31"/>
      <c r="C102" s="31"/>
      <c r="D102" s="32"/>
      <c r="E102" s="33"/>
      <c r="F102" s="34"/>
      <c r="G102" s="34"/>
      <c r="H102" s="35"/>
      <c r="I102" s="22"/>
    </row>
    <row r="157" spans="2:9" s="30" customFormat="1" x14ac:dyDescent="0.25">
      <c r="B157" s="31"/>
      <c r="C157" s="31"/>
      <c r="D157" s="32"/>
      <c r="E157" s="33"/>
      <c r="F157" s="34"/>
      <c r="G157" s="34"/>
      <c r="H157" s="35"/>
      <c r="I157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60"/>
  <sheetViews>
    <sheetView zoomScale="130" zoomScaleNormal="130" workbookViewId="0">
      <selection activeCell="C51" sqref="C51"/>
    </sheetView>
  </sheetViews>
  <sheetFormatPr defaultRowHeight="18.75" x14ac:dyDescent="0.25"/>
  <cols>
    <col min="1" max="1" width="9.28515625" style="30" bestFit="1" customWidth="1"/>
    <col min="2" max="2" width="19.8554687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7109375" style="35" bestFit="1" customWidth="1"/>
    <col min="9" max="9" width="9.28515625" style="22" bestFit="1" customWidth="1"/>
    <col min="10" max="80" width="9.140625" style="9"/>
    <col min="81" max="81" width="9.28515625" style="9" bestFit="1" customWidth="1"/>
    <col min="82" max="82" width="14.28515625" style="9" bestFit="1" customWidth="1"/>
    <col min="83" max="84" width="9.140625" style="9"/>
    <col min="85" max="85" width="9.28515625" style="9" bestFit="1" customWidth="1"/>
    <col min="86" max="86" width="14.28515625" style="9" bestFit="1" customWidth="1"/>
    <col min="87" max="88" width="9.140625" style="9"/>
    <col min="89" max="89" width="9.28515625" style="9" bestFit="1" customWidth="1"/>
    <col min="90" max="90" width="14.28515625" style="9" bestFit="1" customWidth="1"/>
    <col min="91" max="92" width="9.140625" style="9"/>
    <col min="93" max="93" width="9.28515625" style="9" bestFit="1" customWidth="1"/>
    <col min="94" max="94" width="14.28515625" style="9" bestFit="1" customWidth="1"/>
    <col min="95" max="96" width="9.140625" style="9"/>
    <col min="97" max="97" width="9.28515625" style="9" bestFit="1" customWidth="1"/>
    <col min="98" max="98" width="14.28515625" style="9" bestFit="1" customWidth="1"/>
    <col min="99" max="100" width="9.140625" style="9"/>
    <col min="101" max="101" width="9.28515625" style="9" bestFit="1" customWidth="1"/>
    <col min="102" max="102" width="14.28515625" style="9" bestFit="1" customWidth="1"/>
    <col min="103" max="104" width="9.140625" style="9"/>
    <col min="105" max="105" width="9.28515625" style="9" bestFit="1" customWidth="1"/>
    <col min="106" max="106" width="14.28515625" style="9" bestFit="1" customWidth="1"/>
    <col min="107" max="108" width="9.140625" style="9"/>
    <col min="109" max="109" width="9.28515625" style="9" bestFit="1" customWidth="1"/>
    <col min="110" max="110" width="14.28515625" style="9" bestFit="1" customWidth="1"/>
    <col min="111" max="112" width="9.140625" style="9"/>
    <col min="113" max="113" width="9.28515625" style="9" bestFit="1" customWidth="1"/>
    <col min="114" max="114" width="14.28515625" style="9" bestFit="1" customWidth="1"/>
    <col min="115" max="116" width="9.140625" style="9"/>
    <col min="117" max="117" width="9.28515625" style="9" bestFit="1" customWidth="1"/>
    <col min="118" max="118" width="14.28515625" style="9" bestFit="1" customWidth="1"/>
    <col min="119" max="120" width="9.140625" style="9"/>
    <col min="121" max="121" width="9.28515625" style="9" bestFit="1" customWidth="1"/>
    <col min="122" max="122" width="14.28515625" style="9" bestFit="1" customWidth="1"/>
    <col min="123" max="124" width="9.140625" style="9"/>
    <col min="125" max="125" width="9.28515625" style="9" bestFit="1" customWidth="1"/>
    <col min="126" max="126" width="14.28515625" style="9" bestFit="1" customWidth="1"/>
    <col min="127" max="128" width="9.140625" style="9"/>
    <col min="129" max="129" width="9.28515625" style="9" bestFit="1" customWidth="1"/>
    <col min="130" max="130" width="14.28515625" style="9" bestFit="1" customWidth="1"/>
    <col min="131" max="132" width="9.140625" style="9"/>
    <col min="133" max="133" width="9.28515625" style="9" bestFit="1" customWidth="1"/>
    <col min="134" max="134" width="14.28515625" style="9" bestFit="1" customWidth="1"/>
    <col min="135" max="136" width="9.140625" style="9"/>
    <col min="137" max="137" width="9.28515625" style="9" bestFit="1" customWidth="1"/>
    <col min="138" max="138" width="14.28515625" style="9" bestFit="1" customWidth="1"/>
    <col min="139" max="140" width="9.140625" style="9"/>
    <col min="141" max="141" width="9.28515625" style="9" bestFit="1" customWidth="1"/>
    <col min="142" max="142" width="14.28515625" style="9" bestFit="1" customWidth="1"/>
    <col min="143" max="144" width="9.140625" style="9"/>
    <col min="145" max="145" width="9.28515625" style="9" bestFit="1" customWidth="1"/>
    <col min="146" max="146" width="14.28515625" style="9" bestFit="1" customWidth="1"/>
    <col min="147" max="148" width="9.140625" style="9"/>
    <col min="149" max="149" width="9.28515625" style="9" bestFit="1" customWidth="1"/>
    <col min="150" max="150" width="14.28515625" style="9" bestFit="1" customWidth="1"/>
    <col min="151" max="152" width="9.140625" style="9"/>
    <col min="153" max="153" width="9.28515625" style="9" bestFit="1" customWidth="1"/>
    <col min="154" max="154" width="14.28515625" style="9" bestFit="1" customWidth="1"/>
    <col min="155" max="156" width="9.140625" style="9"/>
    <col min="157" max="157" width="9.28515625" style="9" bestFit="1" customWidth="1"/>
    <col min="158" max="158" width="14.28515625" style="9" bestFit="1" customWidth="1"/>
    <col min="159" max="160" width="9.140625" style="9"/>
    <col min="161" max="161" width="9.28515625" style="9" bestFit="1" customWidth="1"/>
    <col min="162" max="162" width="14.28515625" style="9" bestFit="1" customWidth="1"/>
    <col min="163" max="164" width="9.140625" style="9"/>
    <col min="165" max="165" width="9.28515625" style="9" bestFit="1" customWidth="1"/>
    <col min="166" max="166" width="14.28515625" style="9" bestFit="1" customWidth="1"/>
    <col min="167" max="168" width="9.140625" style="9"/>
    <col min="169" max="169" width="9.28515625" style="9" bestFit="1" customWidth="1"/>
    <col min="170" max="170" width="14.28515625" style="9" bestFit="1" customWidth="1"/>
    <col min="171" max="172" width="9.140625" style="9"/>
    <col min="173" max="173" width="9.28515625" style="9" bestFit="1" customWidth="1"/>
    <col min="174" max="174" width="14.28515625" style="9" bestFit="1" customWidth="1"/>
    <col min="175" max="176" width="9.140625" style="9"/>
    <col min="177" max="177" width="9.28515625" style="9" bestFit="1" customWidth="1"/>
    <col min="178" max="178" width="14.28515625" style="9" bestFit="1" customWidth="1"/>
    <col min="179" max="180" width="9.140625" style="9"/>
    <col min="181" max="181" width="9.28515625" style="9" bestFit="1" customWidth="1"/>
    <col min="182" max="182" width="14.28515625" style="9" bestFit="1" customWidth="1"/>
    <col min="183" max="184" width="9.140625" style="9"/>
    <col min="185" max="185" width="9.28515625" style="9" bestFit="1" customWidth="1"/>
    <col min="186" max="186" width="14.28515625" style="9" bestFit="1" customWidth="1"/>
    <col min="187" max="188" width="9.140625" style="9"/>
    <col min="189" max="189" width="9.28515625" style="9" bestFit="1" customWidth="1"/>
    <col min="190" max="190" width="14.28515625" style="9" bestFit="1" customWidth="1"/>
    <col min="191" max="192" width="9.140625" style="9"/>
    <col min="193" max="193" width="9.28515625" style="9" bestFit="1" customWidth="1"/>
    <col min="194" max="194" width="14.28515625" style="9" bestFit="1" customWidth="1"/>
    <col min="195" max="196" width="9.140625" style="9"/>
    <col min="197" max="197" width="9.28515625" style="9" bestFit="1" customWidth="1"/>
    <col min="198" max="198" width="14.28515625" style="9" bestFit="1" customWidth="1"/>
    <col min="199" max="200" width="9.140625" style="9"/>
    <col min="201" max="201" width="9.28515625" style="9" bestFit="1" customWidth="1"/>
    <col min="202" max="202" width="14.28515625" style="9" bestFit="1" customWidth="1"/>
    <col min="203" max="204" width="9.140625" style="9"/>
    <col min="205" max="205" width="9.28515625" style="9" bestFit="1" customWidth="1"/>
    <col min="206" max="206" width="14.28515625" style="9" bestFit="1" customWidth="1"/>
    <col min="207" max="208" width="9.140625" style="9"/>
    <col min="209" max="209" width="9.28515625" style="9" bestFit="1" customWidth="1"/>
    <col min="210" max="210" width="14.28515625" style="9" bestFit="1" customWidth="1"/>
    <col min="211" max="212" width="9.140625" style="9"/>
    <col min="213" max="213" width="9.28515625" style="9" bestFit="1" customWidth="1"/>
    <col min="214" max="214" width="14.28515625" style="9" bestFit="1" customWidth="1"/>
    <col min="215" max="216" width="9.140625" style="9"/>
    <col min="217" max="217" width="9.28515625" style="9" bestFit="1" customWidth="1"/>
    <col min="218" max="218" width="14.28515625" style="9" bestFit="1" customWidth="1"/>
    <col min="219" max="220" width="9.140625" style="9"/>
    <col min="221" max="221" width="9.28515625" style="9" bestFit="1" customWidth="1"/>
    <col min="222" max="222" width="14.28515625" style="9" bestFit="1" customWidth="1"/>
    <col min="223" max="224" width="9.140625" style="9"/>
    <col min="225" max="225" width="9.28515625" style="9" bestFit="1" customWidth="1"/>
    <col min="226" max="226" width="14.28515625" style="9" bestFit="1" customWidth="1"/>
    <col min="227" max="228" width="9.140625" style="9"/>
    <col min="229" max="229" width="9.28515625" style="9" bestFit="1" customWidth="1"/>
    <col min="230" max="230" width="14.28515625" style="9" bestFit="1" customWidth="1"/>
    <col min="231" max="232" width="9.140625" style="9"/>
    <col min="233" max="233" width="9.28515625" style="9" bestFit="1" customWidth="1"/>
    <col min="234" max="234" width="14.28515625" style="9" bestFit="1" customWidth="1"/>
    <col min="235" max="236" width="9.140625" style="9"/>
    <col min="237" max="237" width="9.28515625" style="9" bestFit="1" customWidth="1"/>
    <col min="238" max="238" width="14.28515625" style="9" bestFit="1" customWidth="1"/>
    <col min="239" max="240" width="9.140625" style="9"/>
    <col min="241" max="241" width="9.28515625" style="9" bestFit="1" customWidth="1"/>
    <col min="242" max="242" width="14.28515625" style="9" bestFit="1" customWidth="1"/>
    <col min="243" max="244" width="9.140625" style="9"/>
    <col min="245" max="245" width="9.28515625" style="9" bestFit="1" customWidth="1"/>
    <col min="246" max="246" width="14.28515625" style="9" bestFit="1" customWidth="1"/>
    <col min="247" max="248" width="9.140625" style="9"/>
    <col min="249" max="249" width="9.28515625" style="9" bestFit="1" customWidth="1"/>
    <col min="250" max="250" width="14.28515625" style="9" bestFit="1" customWidth="1"/>
    <col min="251" max="252" width="9.140625" style="9"/>
    <col min="253" max="253" width="9.28515625" style="9" bestFit="1" customWidth="1"/>
    <col min="254" max="254" width="14.28515625" style="9" bestFit="1" customWidth="1"/>
    <col min="255" max="16384" width="9.140625" style="9"/>
  </cols>
  <sheetData>
    <row r="1" spans="1:9" x14ac:dyDescent="0.25">
      <c r="A1" s="1">
        <v>39692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>G3*12/100</f>
        <v>660</v>
      </c>
      <c r="I3" s="21">
        <f t="shared" ref="I3:I19" si="0">G3*12/100</f>
        <v>660</v>
      </c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5500</v>
      </c>
      <c r="G4" s="61">
        <v>5500</v>
      </c>
      <c r="H4" s="61">
        <f t="shared" ref="H4:H50" si="1">G4*12/100</f>
        <v>660</v>
      </c>
      <c r="I4" s="21">
        <f t="shared" si="0"/>
        <v>660</v>
      </c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2750</v>
      </c>
      <c r="G5" s="62">
        <v>2750</v>
      </c>
      <c r="H5" s="61">
        <f t="shared" si="1"/>
        <v>330</v>
      </c>
      <c r="I5" s="21">
        <f t="shared" si="0"/>
        <v>330</v>
      </c>
    </row>
    <row r="6" spans="1:9" s="19" customFormat="1" ht="25.5" x14ac:dyDescent="0.25">
      <c r="A6" s="45">
        <v>50</v>
      </c>
      <c r="B6" s="57">
        <v>100253724762</v>
      </c>
      <c r="C6" s="58" t="s">
        <v>15</v>
      </c>
      <c r="D6" s="64" t="s">
        <v>16</v>
      </c>
      <c r="E6" s="65">
        <v>30</v>
      </c>
      <c r="F6" s="64">
        <v>5500</v>
      </c>
      <c r="G6" s="64">
        <v>5500</v>
      </c>
      <c r="H6" s="61">
        <f t="shared" si="1"/>
        <v>660</v>
      </c>
      <c r="I6" s="21">
        <f t="shared" si="0"/>
        <v>660</v>
      </c>
    </row>
    <row r="7" spans="1:9" s="19" customFormat="1" ht="15.75" x14ac:dyDescent="0.25">
      <c r="A7" s="45">
        <v>82</v>
      </c>
      <c r="B7" s="57">
        <v>100337411384</v>
      </c>
      <c r="C7" s="58" t="s">
        <v>18</v>
      </c>
      <c r="D7" s="67" t="s">
        <v>18</v>
      </c>
      <c r="E7" s="65">
        <v>29</v>
      </c>
      <c r="F7" s="64">
        <v>3195</v>
      </c>
      <c r="G7" s="64">
        <v>3195</v>
      </c>
      <c r="H7" s="61">
        <f t="shared" si="1"/>
        <v>383.4</v>
      </c>
      <c r="I7" s="21">
        <f t="shared" si="0"/>
        <v>383.4</v>
      </c>
    </row>
    <row r="8" spans="1:9" s="19" customFormat="1" ht="15.75" x14ac:dyDescent="0.25">
      <c r="A8" s="45">
        <v>96</v>
      </c>
      <c r="B8" s="57">
        <v>100071591724</v>
      </c>
      <c r="C8" s="58" t="s">
        <v>21</v>
      </c>
      <c r="D8" s="65" t="s">
        <v>21</v>
      </c>
      <c r="E8" s="65">
        <v>30</v>
      </c>
      <c r="F8" s="64">
        <v>5500</v>
      </c>
      <c r="G8" s="64">
        <v>5500</v>
      </c>
      <c r="H8" s="61">
        <f t="shared" si="1"/>
        <v>660</v>
      </c>
      <c r="I8" s="21">
        <f t="shared" si="0"/>
        <v>660</v>
      </c>
    </row>
    <row r="9" spans="1:9" s="19" customFormat="1" ht="15.75" x14ac:dyDescent="0.25">
      <c r="A9" s="45">
        <v>112</v>
      </c>
      <c r="B9" s="57">
        <v>100353622159</v>
      </c>
      <c r="C9" s="58" t="s">
        <v>24</v>
      </c>
      <c r="D9" s="65" t="s">
        <v>25</v>
      </c>
      <c r="E9" s="48">
        <v>30</v>
      </c>
      <c r="F9" s="48">
        <v>5500</v>
      </c>
      <c r="G9" s="48">
        <v>5500</v>
      </c>
      <c r="H9" s="61">
        <f t="shared" si="1"/>
        <v>660</v>
      </c>
      <c r="I9" s="21">
        <f t="shared" si="0"/>
        <v>660</v>
      </c>
    </row>
    <row r="10" spans="1:9" s="19" customFormat="1" ht="15.75" x14ac:dyDescent="0.25">
      <c r="A10" s="45">
        <v>126</v>
      </c>
      <c r="B10" s="57">
        <v>100358535750</v>
      </c>
      <c r="C10" s="58" t="s">
        <v>26</v>
      </c>
      <c r="D10" s="51" t="s">
        <v>27</v>
      </c>
      <c r="E10" s="69">
        <v>30</v>
      </c>
      <c r="F10" s="69">
        <v>5500</v>
      </c>
      <c r="G10" s="69">
        <v>5500</v>
      </c>
      <c r="H10" s="61">
        <f t="shared" si="1"/>
        <v>660</v>
      </c>
      <c r="I10" s="21">
        <f t="shared" si="0"/>
        <v>660</v>
      </c>
    </row>
    <row r="11" spans="1:9" s="19" customFormat="1" ht="15.75" x14ac:dyDescent="0.25">
      <c r="A11" s="45">
        <v>134</v>
      </c>
      <c r="B11" s="57">
        <v>100084707366</v>
      </c>
      <c r="C11" s="58" t="s">
        <v>28</v>
      </c>
      <c r="D11" s="71" t="s">
        <v>28</v>
      </c>
      <c r="E11" s="48">
        <v>30</v>
      </c>
      <c r="F11" s="71">
        <v>2808</v>
      </c>
      <c r="G11" s="71">
        <v>2808</v>
      </c>
      <c r="H11" s="61">
        <f t="shared" si="1"/>
        <v>336.96</v>
      </c>
      <c r="I11" s="21">
        <f t="shared" si="0"/>
        <v>336.96</v>
      </c>
    </row>
    <row r="12" spans="1:9" s="19" customFormat="1" ht="15.75" x14ac:dyDescent="0.25">
      <c r="A12" s="45">
        <v>136</v>
      </c>
      <c r="B12" s="57">
        <v>100167059875</v>
      </c>
      <c r="C12" s="58" t="s">
        <v>29</v>
      </c>
      <c r="D12" s="65" t="s">
        <v>30</v>
      </c>
      <c r="E12" s="48">
        <v>30</v>
      </c>
      <c r="F12" s="49">
        <v>5500</v>
      </c>
      <c r="G12" s="49">
        <v>5500</v>
      </c>
      <c r="H12" s="61">
        <f t="shared" si="1"/>
        <v>660</v>
      </c>
      <c r="I12" s="21">
        <f t="shared" si="0"/>
        <v>660</v>
      </c>
    </row>
    <row r="13" spans="1:9" s="19" customFormat="1" ht="15.75" x14ac:dyDescent="0.25">
      <c r="A13" s="45">
        <v>149</v>
      </c>
      <c r="B13" s="57">
        <v>100333985226</v>
      </c>
      <c r="C13" s="58" t="s">
        <v>31</v>
      </c>
      <c r="D13" s="51" t="s">
        <v>32</v>
      </c>
      <c r="E13" s="72">
        <v>30</v>
      </c>
      <c r="F13" s="72">
        <v>0</v>
      </c>
      <c r="G13" s="72">
        <v>0</v>
      </c>
      <c r="H13" s="61">
        <f t="shared" si="1"/>
        <v>0</v>
      </c>
      <c r="I13" s="21">
        <f t="shared" si="0"/>
        <v>0</v>
      </c>
    </row>
    <row r="14" spans="1:9" s="19" customFormat="1" ht="15.75" x14ac:dyDescent="0.25">
      <c r="A14" s="45">
        <v>169</v>
      </c>
      <c r="B14" s="57">
        <v>100112097052</v>
      </c>
      <c r="C14" s="58" t="s">
        <v>116</v>
      </c>
      <c r="D14" s="73" t="s">
        <v>117</v>
      </c>
      <c r="E14" s="60">
        <v>30</v>
      </c>
      <c r="F14" s="74">
        <v>733</v>
      </c>
      <c r="G14" s="74">
        <v>733</v>
      </c>
      <c r="H14" s="61">
        <f t="shared" si="1"/>
        <v>87.96</v>
      </c>
      <c r="I14" s="21"/>
    </row>
    <row r="15" spans="1:9" s="19" customFormat="1" ht="15.75" x14ac:dyDescent="0.25">
      <c r="A15" s="45">
        <v>186</v>
      </c>
      <c r="B15" s="57">
        <v>100353962659</v>
      </c>
      <c r="C15" s="58" t="s">
        <v>118</v>
      </c>
      <c r="D15" s="51" t="s">
        <v>119</v>
      </c>
      <c r="E15" s="72">
        <v>30</v>
      </c>
      <c r="F15" s="72">
        <v>1000</v>
      </c>
      <c r="G15" s="72">
        <v>1000</v>
      </c>
      <c r="H15" s="61">
        <f t="shared" si="1"/>
        <v>120</v>
      </c>
      <c r="I15" s="21"/>
    </row>
    <row r="16" spans="1:9" s="19" customFormat="1" ht="15.75" x14ac:dyDescent="0.25">
      <c r="A16" s="45">
        <v>191</v>
      </c>
      <c r="B16" s="57">
        <v>100094359606</v>
      </c>
      <c r="C16" s="58" t="s">
        <v>33</v>
      </c>
      <c r="D16" s="75" t="s">
        <v>33</v>
      </c>
      <c r="E16" s="75">
        <v>30</v>
      </c>
      <c r="F16" s="75">
        <v>2500</v>
      </c>
      <c r="G16" s="75">
        <v>2500</v>
      </c>
      <c r="H16" s="61">
        <f t="shared" si="1"/>
        <v>300</v>
      </c>
      <c r="I16" s="21">
        <f t="shared" si="0"/>
        <v>300</v>
      </c>
    </row>
    <row r="17" spans="1:256" s="19" customFormat="1" ht="15.75" x14ac:dyDescent="0.25">
      <c r="A17" s="45">
        <v>195</v>
      </c>
      <c r="B17" s="57">
        <v>100235466823</v>
      </c>
      <c r="C17" s="58" t="s">
        <v>34</v>
      </c>
      <c r="D17" s="75" t="s">
        <v>35</v>
      </c>
      <c r="E17" s="75">
        <v>30</v>
      </c>
      <c r="F17" s="75">
        <v>5500</v>
      </c>
      <c r="G17" s="75">
        <v>5500</v>
      </c>
      <c r="H17" s="61">
        <f t="shared" si="1"/>
        <v>660</v>
      </c>
      <c r="I17" s="21">
        <f t="shared" si="0"/>
        <v>660</v>
      </c>
    </row>
    <row r="18" spans="1:256" s="19" customFormat="1" ht="16.5" customHeight="1" x14ac:dyDescent="0.25">
      <c r="A18" s="45">
        <v>199</v>
      </c>
      <c r="B18" s="57">
        <v>100232183759</v>
      </c>
      <c r="C18" s="58" t="s">
        <v>36</v>
      </c>
      <c r="D18" s="76" t="s">
        <v>36</v>
      </c>
      <c r="E18" s="45">
        <v>30</v>
      </c>
      <c r="F18" s="57">
        <v>3000</v>
      </c>
      <c r="G18" s="57">
        <v>3000</v>
      </c>
      <c r="H18" s="61">
        <f t="shared" si="1"/>
        <v>360</v>
      </c>
      <c r="I18" s="44"/>
      <c r="J18" s="16"/>
      <c r="K18" s="17"/>
      <c r="L18" s="52"/>
      <c r="M18" s="44"/>
      <c r="N18" s="16"/>
      <c r="O18" s="17"/>
      <c r="P18" s="52"/>
      <c r="Q18" s="44"/>
      <c r="R18" s="16"/>
      <c r="S18" s="17"/>
      <c r="T18" s="52"/>
      <c r="U18" s="44"/>
      <c r="V18" s="16"/>
      <c r="W18" s="17"/>
      <c r="X18" s="52"/>
      <c r="Y18" s="44"/>
      <c r="Z18" s="16"/>
      <c r="AA18" s="17"/>
      <c r="AB18" s="52"/>
      <c r="AC18" s="44"/>
      <c r="AD18" s="16"/>
      <c r="AE18" s="17"/>
      <c r="AF18" s="52"/>
      <c r="AG18" s="44"/>
      <c r="AH18" s="16"/>
      <c r="AI18" s="17"/>
      <c r="AJ18" s="52"/>
      <c r="AK18" s="44"/>
      <c r="AL18" s="16"/>
      <c r="AM18" s="17"/>
      <c r="AN18" s="52"/>
      <c r="AO18" s="44"/>
      <c r="AP18" s="16"/>
      <c r="AQ18" s="17"/>
      <c r="AR18" s="52"/>
      <c r="AS18" s="44"/>
      <c r="AT18" s="16"/>
      <c r="AU18" s="17"/>
      <c r="AV18" s="52"/>
      <c r="AW18" s="44"/>
      <c r="AX18" s="16"/>
      <c r="AY18" s="17"/>
      <c r="AZ18" s="52"/>
      <c r="BA18" s="44"/>
      <c r="BB18" s="16"/>
      <c r="BC18" s="17"/>
      <c r="BD18" s="52"/>
      <c r="BE18" s="44"/>
      <c r="BF18" s="16"/>
      <c r="BG18" s="17"/>
      <c r="BH18" s="52"/>
      <c r="BI18" s="44"/>
      <c r="BJ18" s="16"/>
      <c r="BK18" s="17"/>
      <c r="BL18" s="52"/>
      <c r="BM18" s="44"/>
      <c r="BN18" s="16"/>
      <c r="BO18" s="17"/>
      <c r="BP18" s="52"/>
      <c r="BQ18" s="44"/>
      <c r="BR18" s="16"/>
      <c r="BS18" s="17"/>
      <c r="BT18" s="52"/>
      <c r="BU18" s="44"/>
      <c r="BV18" s="16"/>
      <c r="BW18" s="17"/>
      <c r="BX18" s="52"/>
      <c r="BY18" s="44"/>
      <c r="BZ18" s="16"/>
      <c r="CA18" s="17"/>
      <c r="CB18" s="52"/>
      <c r="CC18" s="44">
        <v>199</v>
      </c>
      <c r="CD18" s="16">
        <v>100232183759</v>
      </c>
      <c r="CE18" s="17" t="s">
        <v>36</v>
      </c>
      <c r="CF18" s="52" t="s">
        <v>36</v>
      </c>
      <c r="CG18" s="44">
        <v>199</v>
      </c>
      <c r="CH18" s="16">
        <v>100232183759</v>
      </c>
      <c r="CI18" s="17" t="s">
        <v>36</v>
      </c>
      <c r="CJ18" s="52" t="s">
        <v>36</v>
      </c>
      <c r="CK18" s="44">
        <v>199</v>
      </c>
      <c r="CL18" s="16">
        <v>100232183759</v>
      </c>
      <c r="CM18" s="17" t="s">
        <v>36</v>
      </c>
      <c r="CN18" s="52" t="s">
        <v>36</v>
      </c>
      <c r="CO18" s="44">
        <v>199</v>
      </c>
      <c r="CP18" s="16">
        <v>100232183759</v>
      </c>
      <c r="CQ18" s="17" t="s">
        <v>36</v>
      </c>
      <c r="CR18" s="52" t="s">
        <v>36</v>
      </c>
      <c r="CS18" s="44">
        <v>199</v>
      </c>
      <c r="CT18" s="16">
        <v>100232183759</v>
      </c>
      <c r="CU18" s="17" t="s">
        <v>36</v>
      </c>
      <c r="CV18" s="52" t="s">
        <v>36</v>
      </c>
      <c r="CW18" s="44">
        <v>199</v>
      </c>
      <c r="CX18" s="16">
        <v>100232183759</v>
      </c>
      <c r="CY18" s="17" t="s">
        <v>36</v>
      </c>
      <c r="CZ18" s="52" t="s">
        <v>36</v>
      </c>
      <c r="DA18" s="44">
        <v>199</v>
      </c>
      <c r="DB18" s="16">
        <v>100232183759</v>
      </c>
      <c r="DC18" s="17" t="s">
        <v>36</v>
      </c>
      <c r="DD18" s="52" t="s">
        <v>36</v>
      </c>
      <c r="DE18" s="44">
        <v>199</v>
      </c>
      <c r="DF18" s="16">
        <v>100232183759</v>
      </c>
      <c r="DG18" s="17" t="s">
        <v>36</v>
      </c>
      <c r="DH18" s="52" t="s">
        <v>36</v>
      </c>
      <c r="DI18" s="44">
        <v>199</v>
      </c>
      <c r="DJ18" s="16">
        <v>100232183759</v>
      </c>
      <c r="DK18" s="17" t="s">
        <v>36</v>
      </c>
      <c r="DL18" s="52" t="s">
        <v>36</v>
      </c>
      <c r="DM18" s="44">
        <v>199</v>
      </c>
      <c r="DN18" s="16">
        <v>100232183759</v>
      </c>
      <c r="DO18" s="17" t="s">
        <v>36</v>
      </c>
      <c r="DP18" s="52" t="s">
        <v>36</v>
      </c>
      <c r="DQ18" s="44">
        <v>199</v>
      </c>
      <c r="DR18" s="16">
        <v>100232183759</v>
      </c>
      <c r="DS18" s="17" t="s">
        <v>36</v>
      </c>
      <c r="DT18" s="52" t="s">
        <v>36</v>
      </c>
      <c r="DU18" s="44">
        <v>199</v>
      </c>
      <c r="DV18" s="16">
        <v>100232183759</v>
      </c>
      <c r="DW18" s="17" t="s">
        <v>36</v>
      </c>
      <c r="DX18" s="52" t="s">
        <v>36</v>
      </c>
      <c r="DY18" s="44">
        <v>199</v>
      </c>
      <c r="DZ18" s="16">
        <v>100232183759</v>
      </c>
      <c r="EA18" s="17" t="s">
        <v>36</v>
      </c>
      <c r="EB18" s="52" t="s">
        <v>36</v>
      </c>
      <c r="EC18" s="44">
        <v>199</v>
      </c>
      <c r="ED18" s="16">
        <v>100232183759</v>
      </c>
      <c r="EE18" s="17" t="s">
        <v>36</v>
      </c>
      <c r="EF18" s="52" t="s">
        <v>36</v>
      </c>
      <c r="EG18" s="44">
        <v>199</v>
      </c>
      <c r="EH18" s="16">
        <v>100232183759</v>
      </c>
      <c r="EI18" s="17" t="s">
        <v>36</v>
      </c>
      <c r="EJ18" s="52" t="s">
        <v>36</v>
      </c>
      <c r="EK18" s="44">
        <v>199</v>
      </c>
      <c r="EL18" s="16">
        <v>100232183759</v>
      </c>
      <c r="EM18" s="17" t="s">
        <v>36</v>
      </c>
      <c r="EN18" s="52" t="s">
        <v>36</v>
      </c>
      <c r="EO18" s="44">
        <v>199</v>
      </c>
      <c r="EP18" s="16">
        <v>100232183759</v>
      </c>
      <c r="EQ18" s="17" t="s">
        <v>36</v>
      </c>
      <c r="ER18" s="52" t="s">
        <v>36</v>
      </c>
      <c r="ES18" s="44">
        <v>199</v>
      </c>
      <c r="ET18" s="16">
        <v>100232183759</v>
      </c>
      <c r="EU18" s="17" t="s">
        <v>36</v>
      </c>
      <c r="EV18" s="52" t="s">
        <v>36</v>
      </c>
      <c r="EW18" s="44">
        <v>199</v>
      </c>
      <c r="EX18" s="16">
        <v>100232183759</v>
      </c>
      <c r="EY18" s="17" t="s">
        <v>36</v>
      </c>
      <c r="EZ18" s="52" t="s">
        <v>36</v>
      </c>
      <c r="FA18" s="44">
        <v>199</v>
      </c>
      <c r="FB18" s="16">
        <v>100232183759</v>
      </c>
      <c r="FC18" s="17" t="s">
        <v>36</v>
      </c>
      <c r="FD18" s="52" t="s">
        <v>36</v>
      </c>
      <c r="FE18" s="44">
        <v>199</v>
      </c>
      <c r="FF18" s="16">
        <v>100232183759</v>
      </c>
      <c r="FG18" s="17" t="s">
        <v>36</v>
      </c>
      <c r="FH18" s="52" t="s">
        <v>36</v>
      </c>
      <c r="FI18" s="44">
        <v>199</v>
      </c>
      <c r="FJ18" s="16">
        <v>100232183759</v>
      </c>
      <c r="FK18" s="17" t="s">
        <v>36</v>
      </c>
      <c r="FL18" s="52" t="s">
        <v>36</v>
      </c>
      <c r="FM18" s="44">
        <v>199</v>
      </c>
      <c r="FN18" s="16">
        <v>100232183759</v>
      </c>
      <c r="FO18" s="17" t="s">
        <v>36</v>
      </c>
      <c r="FP18" s="52" t="s">
        <v>36</v>
      </c>
      <c r="FQ18" s="44">
        <v>199</v>
      </c>
      <c r="FR18" s="16">
        <v>100232183759</v>
      </c>
      <c r="FS18" s="17" t="s">
        <v>36</v>
      </c>
      <c r="FT18" s="52" t="s">
        <v>36</v>
      </c>
      <c r="FU18" s="44">
        <v>199</v>
      </c>
      <c r="FV18" s="16">
        <v>100232183759</v>
      </c>
      <c r="FW18" s="17" t="s">
        <v>36</v>
      </c>
      <c r="FX18" s="52" t="s">
        <v>36</v>
      </c>
      <c r="FY18" s="44">
        <v>199</v>
      </c>
      <c r="FZ18" s="16">
        <v>100232183759</v>
      </c>
      <c r="GA18" s="17" t="s">
        <v>36</v>
      </c>
      <c r="GB18" s="52" t="s">
        <v>36</v>
      </c>
      <c r="GC18" s="44">
        <v>199</v>
      </c>
      <c r="GD18" s="16">
        <v>100232183759</v>
      </c>
      <c r="GE18" s="17" t="s">
        <v>36</v>
      </c>
      <c r="GF18" s="52" t="s">
        <v>36</v>
      </c>
      <c r="GG18" s="44">
        <v>199</v>
      </c>
      <c r="GH18" s="16">
        <v>100232183759</v>
      </c>
      <c r="GI18" s="17" t="s">
        <v>36</v>
      </c>
      <c r="GJ18" s="52" t="s">
        <v>36</v>
      </c>
      <c r="GK18" s="44">
        <v>199</v>
      </c>
      <c r="GL18" s="16">
        <v>100232183759</v>
      </c>
      <c r="GM18" s="17" t="s">
        <v>36</v>
      </c>
      <c r="GN18" s="52" t="s">
        <v>36</v>
      </c>
      <c r="GO18" s="44">
        <v>199</v>
      </c>
      <c r="GP18" s="16">
        <v>100232183759</v>
      </c>
      <c r="GQ18" s="17" t="s">
        <v>36</v>
      </c>
      <c r="GR18" s="52" t="s">
        <v>36</v>
      </c>
      <c r="GS18" s="44">
        <v>199</v>
      </c>
      <c r="GT18" s="16">
        <v>100232183759</v>
      </c>
      <c r="GU18" s="17" t="s">
        <v>36</v>
      </c>
      <c r="GV18" s="52" t="s">
        <v>36</v>
      </c>
      <c r="GW18" s="44">
        <v>199</v>
      </c>
      <c r="GX18" s="16">
        <v>100232183759</v>
      </c>
      <c r="GY18" s="17" t="s">
        <v>36</v>
      </c>
      <c r="GZ18" s="52" t="s">
        <v>36</v>
      </c>
      <c r="HA18" s="44">
        <v>199</v>
      </c>
      <c r="HB18" s="16">
        <v>100232183759</v>
      </c>
      <c r="HC18" s="17" t="s">
        <v>36</v>
      </c>
      <c r="HD18" s="52" t="s">
        <v>36</v>
      </c>
      <c r="HE18" s="44">
        <v>199</v>
      </c>
      <c r="HF18" s="16">
        <v>100232183759</v>
      </c>
      <c r="HG18" s="17" t="s">
        <v>36</v>
      </c>
      <c r="HH18" s="52" t="s">
        <v>36</v>
      </c>
      <c r="HI18" s="44">
        <v>199</v>
      </c>
      <c r="HJ18" s="16">
        <v>100232183759</v>
      </c>
      <c r="HK18" s="17" t="s">
        <v>36</v>
      </c>
      <c r="HL18" s="52" t="s">
        <v>36</v>
      </c>
      <c r="HM18" s="44">
        <v>199</v>
      </c>
      <c r="HN18" s="16">
        <v>100232183759</v>
      </c>
      <c r="HO18" s="17" t="s">
        <v>36</v>
      </c>
      <c r="HP18" s="52" t="s">
        <v>36</v>
      </c>
      <c r="HQ18" s="44">
        <v>199</v>
      </c>
      <c r="HR18" s="16">
        <v>100232183759</v>
      </c>
      <c r="HS18" s="17" t="s">
        <v>36</v>
      </c>
      <c r="HT18" s="52" t="s">
        <v>36</v>
      </c>
      <c r="HU18" s="44">
        <v>199</v>
      </c>
      <c r="HV18" s="16">
        <v>100232183759</v>
      </c>
      <c r="HW18" s="17" t="s">
        <v>36</v>
      </c>
      <c r="HX18" s="52" t="s">
        <v>36</v>
      </c>
      <c r="HY18" s="44">
        <v>199</v>
      </c>
      <c r="HZ18" s="16">
        <v>100232183759</v>
      </c>
      <c r="IA18" s="17" t="s">
        <v>36</v>
      </c>
      <c r="IB18" s="52" t="s">
        <v>36</v>
      </c>
      <c r="IC18" s="44">
        <v>199</v>
      </c>
      <c r="ID18" s="16">
        <v>100232183759</v>
      </c>
      <c r="IE18" s="17" t="s">
        <v>36</v>
      </c>
      <c r="IF18" s="52" t="s">
        <v>36</v>
      </c>
      <c r="IG18" s="44">
        <v>199</v>
      </c>
      <c r="IH18" s="16">
        <v>100232183759</v>
      </c>
      <c r="II18" s="17" t="s">
        <v>36</v>
      </c>
      <c r="IJ18" s="52" t="s">
        <v>36</v>
      </c>
      <c r="IK18" s="44">
        <v>199</v>
      </c>
      <c r="IL18" s="16">
        <v>100232183759</v>
      </c>
      <c r="IM18" s="17" t="s">
        <v>36</v>
      </c>
      <c r="IN18" s="52" t="s">
        <v>36</v>
      </c>
      <c r="IO18" s="44">
        <v>199</v>
      </c>
      <c r="IP18" s="16">
        <v>100232183759</v>
      </c>
      <c r="IQ18" s="17" t="s">
        <v>36</v>
      </c>
      <c r="IR18" s="52" t="s">
        <v>36</v>
      </c>
      <c r="IS18" s="44">
        <v>199</v>
      </c>
      <c r="IT18" s="16">
        <v>100232183759</v>
      </c>
      <c r="IU18" s="17" t="s">
        <v>36</v>
      </c>
      <c r="IV18" s="52" t="s">
        <v>36</v>
      </c>
    </row>
    <row r="19" spans="1:256" s="19" customFormat="1" ht="30" x14ac:dyDescent="0.25">
      <c r="A19" s="45">
        <v>204</v>
      </c>
      <c r="B19" s="57">
        <v>100232169483</v>
      </c>
      <c r="C19" s="58" t="s">
        <v>37</v>
      </c>
      <c r="D19" s="75" t="s">
        <v>38</v>
      </c>
      <c r="E19" s="50">
        <v>30</v>
      </c>
      <c r="F19" s="50">
        <v>5500</v>
      </c>
      <c r="G19" s="50">
        <v>5500</v>
      </c>
      <c r="H19" s="61">
        <f t="shared" si="1"/>
        <v>660</v>
      </c>
      <c r="I19" s="21">
        <f t="shared" si="0"/>
        <v>660</v>
      </c>
    </row>
    <row r="20" spans="1:256" s="19" customFormat="1" ht="15.75" x14ac:dyDescent="0.25">
      <c r="A20" s="45">
        <v>224</v>
      </c>
      <c r="B20" s="57">
        <v>100112371371</v>
      </c>
      <c r="C20" s="58" t="s">
        <v>39</v>
      </c>
      <c r="D20" s="77" t="s">
        <v>40</v>
      </c>
      <c r="E20" s="75">
        <v>30</v>
      </c>
      <c r="F20" s="77">
        <v>5500</v>
      </c>
      <c r="G20" s="77">
        <v>5500</v>
      </c>
      <c r="H20" s="61">
        <f t="shared" si="1"/>
        <v>660</v>
      </c>
      <c r="I20" s="21">
        <f>G20*12/100</f>
        <v>660</v>
      </c>
    </row>
    <row r="21" spans="1:256" s="19" customFormat="1" ht="15.75" x14ac:dyDescent="0.25">
      <c r="A21" s="45">
        <v>252</v>
      </c>
      <c r="B21" s="57">
        <v>100373345016</v>
      </c>
      <c r="C21" s="58" t="s">
        <v>43</v>
      </c>
      <c r="D21" s="79" t="s">
        <v>44</v>
      </c>
      <c r="E21" s="77">
        <v>30</v>
      </c>
      <c r="F21" s="80">
        <v>5500</v>
      </c>
      <c r="G21" s="80">
        <v>5500</v>
      </c>
      <c r="H21" s="61">
        <f t="shared" si="1"/>
        <v>660</v>
      </c>
      <c r="I21" s="21">
        <f>G21*12/100</f>
        <v>660</v>
      </c>
    </row>
    <row r="22" spans="1:256" s="19" customFormat="1" ht="15.75" x14ac:dyDescent="0.25">
      <c r="A22" s="45">
        <v>269</v>
      </c>
      <c r="B22" s="57">
        <v>100353847332</v>
      </c>
      <c r="C22" s="58" t="s">
        <v>46</v>
      </c>
      <c r="D22" s="83" t="s">
        <v>47</v>
      </c>
      <c r="E22" s="83">
        <v>30</v>
      </c>
      <c r="F22" s="84">
        <v>5500</v>
      </c>
      <c r="G22" s="84">
        <v>5500</v>
      </c>
      <c r="H22" s="61">
        <f t="shared" si="1"/>
        <v>660</v>
      </c>
      <c r="I22" s="21">
        <f t="shared" ref="I22:I47" si="2">G22*12/100</f>
        <v>660</v>
      </c>
    </row>
    <row r="23" spans="1:256" s="19" customFormat="1" ht="15.75" x14ac:dyDescent="0.25">
      <c r="A23" s="45">
        <v>309</v>
      </c>
      <c r="B23" s="57">
        <v>100353888563</v>
      </c>
      <c r="C23" s="58" t="s">
        <v>48</v>
      </c>
      <c r="D23" s="85" t="s">
        <v>48</v>
      </c>
      <c r="E23" s="83">
        <v>30</v>
      </c>
      <c r="F23" s="84">
        <v>5500</v>
      </c>
      <c r="G23" s="84">
        <v>5500</v>
      </c>
      <c r="H23" s="61">
        <f t="shared" si="1"/>
        <v>660</v>
      </c>
      <c r="I23" s="21"/>
    </row>
    <row r="24" spans="1:256" s="19" customFormat="1" ht="15.75" x14ac:dyDescent="0.25">
      <c r="A24" s="45">
        <v>324</v>
      </c>
      <c r="B24" s="57">
        <v>100366458827</v>
      </c>
      <c r="C24" s="58" t="s">
        <v>51</v>
      </c>
      <c r="D24" s="87" t="s">
        <v>52</v>
      </c>
      <c r="E24" s="88">
        <v>30</v>
      </c>
      <c r="F24" s="89">
        <v>5500</v>
      </c>
      <c r="G24" s="89">
        <v>5500</v>
      </c>
      <c r="H24" s="61">
        <f t="shared" si="1"/>
        <v>660</v>
      </c>
      <c r="I24" s="21">
        <f t="shared" si="2"/>
        <v>660</v>
      </c>
    </row>
    <row r="25" spans="1:256" s="19" customFormat="1" ht="26.25" x14ac:dyDescent="0.25">
      <c r="A25" s="45">
        <v>326</v>
      </c>
      <c r="B25" s="57">
        <v>100353855918</v>
      </c>
      <c r="C25" s="58" t="s">
        <v>53</v>
      </c>
      <c r="D25" s="90" t="s">
        <v>54</v>
      </c>
      <c r="E25" s="88">
        <v>30</v>
      </c>
      <c r="F25" s="89">
        <v>5500</v>
      </c>
      <c r="G25" s="89">
        <v>5500</v>
      </c>
      <c r="H25" s="61">
        <f t="shared" si="1"/>
        <v>660</v>
      </c>
      <c r="I25" s="21">
        <f t="shared" si="2"/>
        <v>660</v>
      </c>
    </row>
    <row r="26" spans="1:256" s="19" customFormat="1" ht="15.75" x14ac:dyDescent="0.25">
      <c r="A26" s="45">
        <v>337</v>
      </c>
      <c r="B26" s="57">
        <v>100353650100</v>
      </c>
      <c r="C26" s="58" t="s">
        <v>57</v>
      </c>
      <c r="D26" s="92" t="s">
        <v>58</v>
      </c>
      <c r="E26" s="88">
        <v>30</v>
      </c>
      <c r="F26" s="89">
        <v>5500</v>
      </c>
      <c r="G26" s="89">
        <v>5500</v>
      </c>
      <c r="H26" s="61">
        <f t="shared" si="1"/>
        <v>660</v>
      </c>
      <c r="I26" s="21">
        <f t="shared" si="2"/>
        <v>660</v>
      </c>
    </row>
    <row r="27" spans="1:256" s="19" customFormat="1" ht="15.75" x14ac:dyDescent="0.25">
      <c r="A27" s="45">
        <v>372</v>
      </c>
      <c r="B27" s="57">
        <v>100091836225</v>
      </c>
      <c r="C27" s="58" t="s">
        <v>63</v>
      </c>
      <c r="D27" s="95" t="s">
        <v>64</v>
      </c>
      <c r="E27" s="83">
        <v>30</v>
      </c>
      <c r="F27" s="96">
        <v>5500</v>
      </c>
      <c r="G27" s="96">
        <v>5500</v>
      </c>
      <c r="H27" s="61">
        <f t="shared" si="1"/>
        <v>660</v>
      </c>
      <c r="I27" s="21">
        <f t="shared" si="2"/>
        <v>660</v>
      </c>
    </row>
    <row r="28" spans="1:256" s="19" customFormat="1" ht="15.75" x14ac:dyDescent="0.25">
      <c r="A28" s="45">
        <v>378</v>
      </c>
      <c r="B28" s="57">
        <v>100283282515</v>
      </c>
      <c r="C28" s="58" t="s">
        <v>65</v>
      </c>
      <c r="D28" s="95" t="s">
        <v>65</v>
      </c>
      <c r="E28" s="83">
        <v>30</v>
      </c>
      <c r="F28" s="89">
        <v>5500</v>
      </c>
      <c r="G28" s="89">
        <v>5500</v>
      </c>
      <c r="H28" s="61">
        <f t="shared" si="1"/>
        <v>660</v>
      </c>
      <c r="I28" s="21">
        <f t="shared" si="2"/>
        <v>660</v>
      </c>
    </row>
    <row r="29" spans="1:256" s="19" customFormat="1" ht="15.75" x14ac:dyDescent="0.25">
      <c r="A29" s="45">
        <v>390</v>
      </c>
      <c r="B29" s="57">
        <v>100353938598</v>
      </c>
      <c r="C29" s="58" t="s">
        <v>66</v>
      </c>
      <c r="D29" s="92" t="s">
        <v>67</v>
      </c>
      <c r="E29" s="83">
        <v>30</v>
      </c>
      <c r="F29" s="88">
        <v>5500</v>
      </c>
      <c r="G29" s="88">
        <v>5500</v>
      </c>
      <c r="H29" s="61">
        <f t="shared" si="1"/>
        <v>660</v>
      </c>
      <c r="I29" s="21">
        <f t="shared" si="2"/>
        <v>660</v>
      </c>
    </row>
    <row r="30" spans="1:256" s="19" customFormat="1" ht="15.75" x14ac:dyDescent="0.25">
      <c r="A30" s="45">
        <v>400</v>
      </c>
      <c r="B30" s="57">
        <v>100358397938</v>
      </c>
      <c r="C30" s="58" t="s">
        <v>70</v>
      </c>
      <c r="D30" s="98" t="s">
        <v>71</v>
      </c>
      <c r="E30" s="83">
        <v>30</v>
      </c>
      <c r="F30" s="88">
        <v>5500</v>
      </c>
      <c r="G30" s="88">
        <v>5500</v>
      </c>
      <c r="H30" s="61">
        <f t="shared" si="1"/>
        <v>660</v>
      </c>
      <c r="I30" s="21">
        <f t="shared" si="2"/>
        <v>660</v>
      </c>
    </row>
    <row r="31" spans="1:256" s="19" customFormat="1" ht="18" x14ac:dyDescent="0.25">
      <c r="A31" s="45">
        <v>415</v>
      </c>
      <c r="B31" s="57">
        <v>100358404005</v>
      </c>
      <c r="C31" s="58" t="s">
        <v>72</v>
      </c>
      <c r="D31" s="99" t="s">
        <v>73</v>
      </c>
      <c r="E31" s="83">
        <v>30</v>
      </c>
      <c r="F31" s="88">
        <v>2000</v>
      </c>
      <c r="G31" s="88">
        <v>2000</v>
      </c>
      <c r="H31" s="61">
        <f t="shared" si="1"/>
        <v>240</v>
      </c>
      <c r="I31" s="21"/>
    </row>
    <row r="32" spans="1:256" s="19" customFormat="1" ht="15.75" x14ac:dyDescent="0.25">
      <c r="A32" s="45">
        <v>429</v>
      </c>
      <c r="B32" s="57">
        <v>100140247570</v>
      </c>
      <c r="C32" s="58" t="s">
        <v>74</v>
      </c>
      <c r="D32" s="55" t="s">
        <v>74</v>
      </c>
      <c r="E32" s="83">
        <v>30</v>
      </c>
      <c r="F32" s="88">
        <v>2081</v>
      </c>
      <c r="G32" s="88">
        <v>2081</v>
      </c>
      <c r="H32" s="61">
        <f t="shared" si="1"/>
        <v>249.72</v>
      </c>
      <c r="I32" s="21"/>
    </row>
    <row r="33" spans="1:9" s="19" customFormat="1" ht="16.5" x14ac:dyDescent="0.25">
      <c r="A33" s="45">
        <v>434</v>
      </c>
      <c r="B33" s="57">
        <v>100353735967</v>
      </c>
      <c r="C33" s="58" t="s">
        <v>75</v>
      </c>
      <c r="D33" s="100" t="s">
        <v>76</v>
      </c>
      <c r="E33" s="83">
        <v>30</v>
      </c>
      <c r="F33" s="54">
        <v>5500</v>
      </c>
      <c r="G33" s="54">
        <v>5500</v>
      </c>
      <c r="H33" s="61">
        <f t="shared" si="1"/>
        <v>660</v>
      </c>
      <c r="I33" s="21">
        <f t="shared" si="2"/>
        <v>660</v>
      </c>
    </row>
    <row r="34" spans="1:9" s="19" customFormat="1" ht="16.5" x14ac:dyDescent="0.25">
      <c r="A34" s="45">
        <v>435</v>
      </c>
      <c r="B34" s="57">
        <v>100358401923</v>
      </c>
      <c r="C34" s="58" t="s">
        <v>77</v>
      </c>
      <c r="D34" s="100" t="s">
        <v>78</v>
      </c>
      <c r="E34" s="83">
        <v>30</v>
      </c>
      <c r="F34" s="54">
        <v>2000</v>
      </c>
      <c r="G34" s="54">
        <v>2000</v>
      </c>
      <c r="H34" s="61">
        <f t="shared" si="1"/>
        <v>240</v>
      </c>
      <c r="I34" s="21">
        <f t="shared" si="2"/>
        <v>240</v>
      </c>
    </row>
    <row r="35" spans="1:9" s="19" customFormat="1" ht="18" x14ac:dyDescent="0.25">
      <c r="A35" s="45">
        <v>443</v>
      </c>
      <c r="B35" s="57">
        <v>100205552698</v>
      </c>
      <c r="C35" s="58" t="s">
        <v>79</v>
      </c>
      <c r="D35" s="101" t="s">
        <v>80</v>
      </c>
      <c r="E35" s="83">
        <v>30</v>
      </c>
      <c r="F35" s="102">
        <v>5500</v>
      </c>
      <c r="G35" s="102">
        <v>5500</v>
      </c>
      <c r="H35" s="61">
        <f t="shared" si="1"/>
        <v>660</v>
      </c>
      <c r="I35" s="21">
        <f t="shared" si="2"/>
        <v>660</v>
      </c>
    </row>
    <row r="36" spans="1:9" s="19" customFormat="1" ht="33" x14ac:dyDescent="0.25">
      <c r="A36" s="45">
        <v>447</v>
      </c>
      <c r="B36" s="57">
        <v>100134159284</v>
      </c>
      <c r="C36" s="58" t="s">
        <v>81</v>
      </c>
      <c r="D36" s="103" t="s">
        <v>81</v>
      </c>
      <c r="E36" s="83">
        <v>30</v>
      </c>
      <c r="F36" s="103">
        <v>5500</v>
      </c>
      <c r="G36" s="103">
        <v>5500</v>
      </c>
      <c r="H36" s="61">
        <f t="shared" si="1"/>
        <v>660</v>
      </c>
      <c r="I36" s="21">
        <f t="shared" si="2"/>
        <v>660</v>
      </c>
    </row>
    <row r="37" spans="1:9" s="19" customFormat="1" ht="15.75" x14ac:dyDescent="0.25">
      <c r="A37" s="45">
        <v>451</v>
      </c>
      <c r="B37" s="57">
        <v>100162007981</v>
      </c>
      <c r="C37" s="58" t="s">
        <v>82</v>
      </c>
      <c r="D37" s="51" t="s">
        <v>83</v>
      </c>
      <c r="E37" s="83">
        <v>30</v>
      </c>
      <c r="F37" s="104">
        <v>3195</v>
      </c>
      <c r="G37" s="104">
        <v>3195</v>
      </c>
      <c r="H37" s="61">
        <f t="shared" si="1"/>
        <v>383.4</v>
      </c>
      <c r="I37" s="21">
        <f t="shared" si="2"/>
        <v>383.4</v>
      </c>
    </row>
    <row r="38" spans="1:9" s="19" customFormat="1" ht="33" x14ac:dyDescent="0.25">
      <c r="A38" s="45">
        <v>455</v>
      </c>
      <c r="B38" s="57">
        <v>100333498650</v>
      </c>
      <c r="C38" s="58" t="s">
        <v>84</v>
      </c>
      <c r="D38" s="120" t="s">
        <v>84</v>
      </c>
      <c r="E38" s="83">
        <v>30</v>
      </c>
      <c r="F38" s="104">
        <v>2500</v>
      </c>
      <c r="G38" s="104">
        <v>2500</v>
      </c>
      <c r="H38" s="61">
        <f t="shared" si="1"/>
        <v>300</v>
      </c>
      <c r="I38" s="21"/>
    </row>
    <row r="39" spans="1:9" s="19" customFormat="1" ht="18" x14ac:dyDescent="0.25">
      <c r="A39" s="45">
        <v>466</v>
      </c>
      <c r="B39" s="57">
        <v>100232175087</v>
      </c>
      <c r="C39" s="58" t="s">
        <v>85</v>
      </c>
      <c r="D39" s="106" t="s">
        <v>86</v>
      </c>
      <c r="E39" s="83">
        <v>30</v>
      </c>
      <c r="F39" s="107">
        <v>3195</v>
      </c>
      <c r="G39" s="107">
        <v>3195</v>
      </c>
      <c r="H39" s="61">
        <f t="shared" si="1"/>
        <v>383.4</v>
      </c>
      <c r="I39" s="21">
        <f t="shared" si="2"/>
        <v>383.4</v>
      </c>
    </row>
    <row r="40" spans="1:9" s="19" customFormat="1" ht="15.75" x14ac:dyDescent="0.25">
      <c r="A40" s="45">
        <v>481</v>
      </c>
      <c r="B40" s="57">
        <v>100358411358</v>
      </c>
      <c r="C40" s="58" t="s">
        <v>88</v>
      </c>
      <c r="D40" s="108" t="s">
        <v>87</v>
      </c>
      <c r="E40" s="83">
        <v>30</v>
      </c>
      <c r="F40" s="109">
        <v>5500</v>
      </c>
      <c r="G40" s="109">
        <v>5500</v>
      </c>
      <c r="H40" s="61">
        <f t="shared" si="1"/>
        <v>660</v>
      </c>
      <c r="I40" s="21">
        <f t="shared" si="2"/>
        <v>660</v>
      </c>
    </row>
    <row r="41" spans="1:9" s="19" customFormat="1" ht="15.75" x14ac:dyDescent="0.25">
      <c r="A41" s="45">
        <v>482</v>
      </c>
      <c r="B41" s="57">
        <v>100353504634</v>
      </c>
      <c r="C41" s="58" t="s">
        <v>90</v>
      </c>
      <c r="D41" s="108" t="s">
        <v>89</v>
      </c>
      <c r="E41" s="83">
        <v>30</v>
      </c>
      <c r="F41" s="109">
        <v>5500</v>
      </c>
      <c r="G41" s="109">
        <v>5500</v>
      </c>
      <c r="H41" s="61">
        <f t="shared" si="1"/>
        <v>660</v>
      </c>
      <c r="I41" s="21">
        <f t="shared" si="2"/>
        <v>660</v>
      </c>
    </row>
    <row r="42" spans="1:9" s="19" customFormat="1" ht="15.75" x14ac:dyDescent="0.25">
      <c r="A42" s="45">
        <v>483</v>
      </c>
      <c r="B42" s="57">
        <v>100353780044</v>
      </c>
      <c r="C42" s="58" t="s">
        <v>92</v>
      </c>
      <c r="D42" s="108" t="s">
        <v>91</v>
      </c>
      <c r="E42" s="83">
        <v>30</v>
      </c>
      <c r="F42" s="109">
        <v>5500</v>
      </c>
      <c r="G42" s="109">
        <v>5500</v>
      </c>
      <c r="H42" s="61">
        <f t="shared" si="1"/>
        <v>660</v>
      </c>
      <c r="I42" s="21">
        <f t="shared" si="2"/>
        <v>660</v>
      </c>
    </row>
    <row r="43" spans="1:9" s="19" customFormat="1" ht="15.75" x14ac:dyDescent="0.25">
      <c r="A43" s="45">
        <v>485</v>
      </c>
      <c r="B43" s="57">
        <v>100236190637</v>
      </c>
      <c r="C43" s="58" t="s">
        <v>94</v>
      </c>
      <c r="D43" s="108" t="s">
        <v>93</v>
      </c>
      <c r="E43" s="83">
        <v>30</v>
      </c>
      <c r="F43" s="109">
        <v>5500</v>
      </c>
      <c r="G43" s="109">
        <v>5500</v>
      </c>
      <c r="H43" s="61">
        <f t="shared" si="1"/>
        <v>660</v>
      </c>
      <c r="I43" s="21">
        <f t="shared" si="2"/>
        <v>660</v>
      </c>
    </row>
    <row r="44" spans="1:9" s="42" customFormat="1" ht="15.75" x14ac:dyDescent="0.25">
      <c r="A44" s="45">
        <v>487</v>
      </c>
      <c r="B44" s="57">
        <v>100358418267</v>
      </c>
      <c r="C44" s="58" t="s">
        <v>96</v>
      </c>
      <c r="D44" s="108" t="s">
        <v>95</v>
      </c>
      <c r="E44" s="83">
        <v>30</v>
      </c>
      <c r="F44" s="109">
        <v>3475</v>
      </c>
      <c r="G44" s="109">
        <v>3475</v>
      </c>
      <c r="H44" s="61">
        <f t="shared" si="1"/>
        <v>417</v>
      </c>
      <c r="I44" s="21">
        <f t="shared" si="2"/>
        <v>417</v>
      </c>
    </row>
    <row r="45" spans="1:9" s="19" customFormat="1" ht="15.75" x14ac:dyDescent="0.25">
      <c r="A45" s="45">
        <v>491</v>
      </c>
      <c r="B45" s="57">
        <v>100353509071</v>
      </c>
      <c r="C45" s="58" t="s">
        <v>97</v>
      </c>
      <c r="D45" s="58" t="s">
        <v>97</v>
      </c>
      <c r="E45" s="83">
        <v>30</v>
      </c>
      <c r="F45" s="110">
        <v>3195</v>
      </c>
      <c r="G45" s="110">
        <v>3195</v>
      </c>
      <c r="H45" s="61">
        <f t="shared" si="1"/>
        <v>383.4</v>
      </c>
      <c r="I45" s="21">
        <f t="shared" si="2"/>
        <v>383.4</v>
      </c>
    </row>
    <row r="46" spans="1:9" s="19" customFormat="1" ht="15.75" x14ac:dyDescent="0.25">
      <c r="A46" s="45">
        <v>492</v>
      </c>
      <c r="B46" s="57">
        <v>100353508759</v>
      </c>
      <c r="C46" s="58" t="s">
        <v>98</v>
      </c>
      <c r="D46" s="58" t="s">
        <v>98</v>
      </c>
      <c r="E46" s="83">
        <v>30</v>
      </c>
      <c r="F46" s="110">
        <v>3195</v>
      </c>
      <c r="G46" s="110">
        <v>3195</v>
      </c>
      <c r="H46" s="61">
        <f t="shared" si="1"/>
        <v>383.4</v>
      </c>
      <c r="I46" s="21">
        <f t="shared" si="2"/>
        <v>383.4</v>
      </c>
    </row>
    <row r="47" spans="1:9" s="19" customFormat="1" ht="15.75" x14ac:dyDescent="0.25">
      <c r="A47" s="45">
        <v>493</v>
      </c>
      <c r="B47" s="57">
        <v>100353509419</v>
      </c>
      <c r="C47" s="58" t="s">
        <v>99</v>
      </c>
      <c r="D47" s="58" t="s">
        <v>99</v>
      </c>
      <c r="E47" s="83">
        <v>30</v>
      </c>
      <c r="F47" s="110">
        <v>3195</v>
      </c>
      <c r="G47" s="110">
        <v>3195</v>
      </c>
      <c r="H47" s="61">
        <f t="shared" si="1"/>
        <v>383.4</v>
      </c>
      <c r="I47" s="21">
        <f t="shared" si="2"/>
        <v>383.4</v>
      </c>
    </row>
    <row r="48" spans="1:9" s="19" customFormat="1" ht="15.75" x14ac:dyDescent="0.25">
      <c r="A48" s="45">
        <v>496</v>
      </c>
      <c r="B48" s="57">
        <v>100353505607</v>
      </c>
      <c r="C48" s="58" t="s">
        <v>100</v>
      </c>
      <c r="D48" s="58" t="s">
        <v>100</v>
      </c>
      <c r="E48" s="83">
        <v>30</v>
      </c>
      <c r="F48" s="110">
        <v>2000</v>
      </c>
      <c r="G48" s="110">
        <v>2000</v>
      </c>
      <c r="H48" s="61">
        <f t="shared" si="1"/>
        <v>240</v>
      </c>
      <c r="I48" s="21">
        <f>G48*12/100</f>
        <v>240</v>
      </c>
    </row>
    <row r="49" spans="1:9" s="19" customFormat="1" ht="15.75" x14ac:dyDescent="0.25">
      <c r="A49" s="45">
        <v>498</v>
      </c>
      <c r="B49" s="57">
        <v>100353509092</v>
      </c>
      <c r="C49" s="58" t="s">
        <v>101</v>
      </c>
      <c r="D49" s="58" t="s">
        <v>101</v>
      </c>
      <c r="E49" s="83">
        <v>30</v>
      </c>
      <c r="F49" s="110">
        <v>3195</v>
      </c>
      <c r="G49" s="110">
        <v>3195</v>
      </c>
      <c r="H49" s="61">
        <f t="shared" si="1"/>
        <v>383.4</v>
      </c>
      <c r="I49" s="21">
        <f>G49*12/100</f>
        <v>383.4</v>
      </c>
    </row>
    <row r="50" spans="1:9" s="19" customFormat="1" ht="15.75" x14ac:dyDescent="0.25">
      <c r="A50" s="45">
        <v>564</v>
      </c>
      <c r="B50" s="57">
        <v>100358576652</v>
      </c>
      <c r="C50" s="58" t="s">
        <v>104</v>
      </c>
      <c r="D50" s="86" t="s">
        <v>105</v>
      </c>
      <c r="E50" s="83">
        <v>30</v>
      </c>
      <c r="F50" s="112">
        <v>5500</v>
      </c>
      <c r="G50" s="112">
        <v>5500</v>
      </c>
      <c r="H50" s="61">
        <f t="shared" si="1"/>
        <v>660</v>
      </c>
      <c r="I50" s="21" t="e">
        <f>#REF!*12/100</f>
        <v>#REF!</v>
      </c>
    </row>
    <row r="51" spans="1:9" ht="29.25" customHeight="1" x14ac:dyDescent="0.25">
      <c r="A51" s="24"/>
      <c r="B51" s="25"/>
      <c r="C51" s="9"/>
      <c r="D51" s="31"/>
      <c r="E51" s="9"/>
      <c r="F51" s="56">
        <f>SUM(F3:F50)</f>
        <v>203212</v>
      </c>
      <c r="G51" s="56">
        <f>SUM(G3:G50)</f>
        <v>203212</v>
      </c>
      <c r="H51" s="56">
        <f>SUM(H3:H50)</f>
        <v>24385.44000000001</v>
      </c>
      <c r="I51" s="23"/>
    </row>
    <row r="52" spans="1:9" ht="17.25" x14ac:dyDescent="0.25">
      <c r="A52" s="24"/>
      <c r="B52" s="25"/>
      <c r="C52" s="26"/>
      <c r="D52" s="26"/>
      <c r="E52" s="27"/>
      <c r="F52" s="28"/>
      <c r="G52" s="29"/>
      <c r="H52" s="29"/>
      <c r="I52" s="23"/>
    </row>
    <row r="54" spans="1:9" x14ac:dyDescent="0.25">
      <c r="H54" s="36"/>
      <c r="I54" s="37"/>
    </row>
    <row r="55" spans="1:9" x14ac:dyDescent="0.25">
      <c r="A55" s="44"/>
      <c r="B55" s="16"/>
      <c r="C55" s="17"/>
      <c r="D55" s="53"/>
      <c r="E55" s="47"/>
    </row>
    <row r="56" spans="1:9" x14ac:dyDescent="0.25">
      <c r="I56" s="38"/>
    </row>
    <row r="58" spans="1:9" x14ac:dyDescent="0.25">
      <c r="F58" s="39"/>
      <c r="G58" s="39"/>
      <c r="I58" s="38"/>
    </row>
    <row r="60" spans="1:9" x14ac:dyDescent="0.25">
      <c r="F60" s="39"/>
    </row>
    <row r="61" spans="1:9" x14ac:dyDescent="0.25">
      <c r="F61" s="39"/>
    </row>
    <row r="62" spans="1:9" x14ac:dyDescent="0.25">
      <c r="G62" s="39"/>
    </row>
    <row r="63" spans="1:9" x14ac:dyDescent="0.25">
      <c r="F63" s="40"/>
      <c r="G63" s="40"/>
      <c r="I63" s="23"/>
    </row>
    <row r="64" spans="1:9" x14ac:dyDescent="0.25">
      <c r="F64" s="40"/>
      <c r="G64" s="41"/>
    </row>
    <row r="65" spans="1:14" x14ac:dyDescent="0.25">
      <c r="F65" s="40"/>
      <c r="G65" s="40"/>
      <c r="I65" s="23"/>
    </row>
    <row r="66" spans="1:14" ht="25.5" x14ac:dyDescent="0.25">
      <c r="A66" s="18" t="s">
        <v>106</v>
      </c>
      <c r="B66" s="20">
        <v>19250</v>
      </c>
      <c r="C66" s="20">
        <v>13960</v>
      </c>
      <c r="D66" s="20">
        <v>1800</v>
      </c>
      <c r="E66" s="30"/>
      <c r="F66" s="31"/>
      <c r="G66" s="31"/>
      <c r="H66" s="31"/>
      <c r="I66" s="32"/>
      <c r="J66" s="33"/>
      <c r="K66" s="40"/>
      <c r="L66" s="40"/>
      <c r="M66" s="35"/>
      <c r="N66" s="22"/>
    </row>
    <row r="68" spans="1:14" x14ac:dyDescent="0.25">
      <c r="E68" s="33">
        <v>42983</v>
      </c>
      <c r="F68" s="34">
        <v>17783</v>
      </c>
      <c r="G68" s="34">
        <f>E68-F68</f>
        <v>25200</v>
      </c>
    </row>
    <row r="69" spans="1:14" x14ac:dyDescent="0.25">
      <c r="G69" s="34">
        <v>18114</v>
      </c>
    </row>
    <row r="70" spans="1:14" x14ac:dyDescent="0.25">
      <c r="G70" s="34">
        <f>SUM(G68:G69)</f>
        <v>43314</v>
      </c>
      <c r="H70" s="35">
        <v>42728</v>
      </c>
      <c r="I70" s="22">
        <f>G70-H70</f>
        <v>586</v>
      </c>
    </row>
    <row r="74" spans="1:14" s="30" customFormat="1" x14ac:dyDescent="0.25">
      <c r="B74" s="31"/>
      <c r="C74" s="31"/>
      <c r="D74" s="32"/>
      <c r="E74" s="33"/>
      <c r="F74" s="34"/>
      <c r="G74" s="34"/>
      <c r="H74" s="35"/>
      <c r="I74" s="22"/>
    </row>
    <row r="105" spans="2:9" s="30" customFormat="1" x14ac:dyDescent="0.25">
      <c r="B105" s="31"/>
      <c r="C105" s="31"/>
      <c r="D105" s="32"/>
      <c r="E105" s="33"/>
      <c r="F105" s="34"/>
      <c r="G105" s="34"/>
      <c r="H105" s="35"/>
      <c r="I105" s="22"/>
    </row>
    <row r="160" spans="2:9" s="30" customFormat="1" x14ac:dyDescent="0.25">
      <c r="B160" s="31"/>
      <c r="C160" s="31"/>
      <c r="D160" s="32"/>
      <c r="E160" s="33"/>
      <c r="F160" s="34"/>
      <c r="G160" s="34"/>
      <c r="H160" s="35"/>
      <c r="I160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65"/>
  <sheetViews>
    <sheetView topLeftCell="A41" zoomScale="130" zoomScaleNormal="130" workbookViewId="0">
      <selection activeCell="C56" sqref="C56"/>
    </sheetView>
  </sheetViews>
  <sheetFormatPr defaultRowHeight="18.75" x14ac:dyDescent="0.25"/>
  <cols>
    <col min="1" max="1" width="9.140625" style="30"/>
    <col min="2" max="2" width="19.8554687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5703125" style="35" bestFit="1" customWidth="1"/>
    <col min="9" max="9" width="9.140625" style="22"/>
    <col min="10" max="16384" width="9.140625" style="9"/>
  </cols>
  <sheetData>
    <row r="1" spans="1:9" x14ac:dyDescent="0.25">
      <c r="A1" s="1">
        <v>39722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>G3*12/100</f>
        <v>660</v>
      </c>
      <c r="I3" s="21">
        <f t="shared" ref="I3:I20" si="0">G3*12/100</f>
        <v>660</v>
      </c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5500</v>
      </c>
      <c r="G4" s="61">
        <v>5500</v>
      </c>
      <c r="H4" s="61">
        <f t="shared" ref="H4:H55" si="1">G4*12/100</f>
        <v>660</v>
      </c>
      <c r="I4" s="21">
        <f t="shared" si="0"/>
        <v>660</v>
      </c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2500</v>
      </c>
      <c r="G5" s="62">
        <v>2500</v>
      </c>
      <c r="H5" s="61">
        <f t="shared" si="1"/>
        <v>300</v>
      </c>
      <c r="I5" s="21">
        <f t="shared" si="0"/>
        <v>300</v>
      </c>
    </row>
    <row r="6" spans="1:9" s="19" customFormat="1" ht="15.75" x14ac:dyDescent="0.25">
      <c r="A6" s="45">
        <v>38</v>
      </c>
      <c r="B6" s="57">
        <v>100217136235</v>
      </c>
      <c r="C6" s="58" t="s">
        <v>13</v>
      </c>
      <c r="D6" s="63" t="s">
        <v>14</v>
      </c>
      <c r="E6" s="59">
        <v>30</v>
      </c>
      <c r="F6" s="62">
        <v>1826</v>
      </c>
      <c r="G6" s="62">
        <v>1826</v>
      </c>
      <c r="H6" s="61">
        <f t="shared" si="1"/>
        <v>219.12</v>
      </c>
      <c r="I6" s="21"/>
    </row>
    <row r="7" spans="1:9" s="19" customFormat="1" ht="25.5" x14ac:dyDescent="0.25">
      <c r="A7" s="45">
        <v>50</v>
      </c>
      <c r="B7" s="57">
        <v>100253724762</v>
      </c>
      <c r="C7" s="58" t="s">
        <v>15</v>
      </c>
      <c r="D7" s="64" t="s">
        <v>16</v>
      </c>
      <c r="E7" s="65">
        <v>30</v>
      </c>
      <c r="F7" s="64">
        <v>5500</v>
      </c>
      <c r="G7" s="64">
        <v>5500</v>
      </c>
      <c r="H7" s="61">
        <f t="shared" si="1"/>
        <v>660</v>
      </c>
      <c r="I7" s="21">
        <f t="shared" si="0"/>
        <v>660</v>
      </c>
    </row>
    <row r="8" spans="1:9" s="19" customFormat="1" ht="15.75" x14ac:dyDescent="0.25">
      <c r="A8" s="45">
        <v>82</v>
      </c>
      <c r="B8" s="57">
        <v>100337411384</v>
      </c>
      <c r="C8" s="58" t="s">
        <v>18</v>
      </c>
      <c r="D8" s="67" t="s">
        <v>18</v>
      </c>
      <c r="E8" s="65">
        <v>29</v>
      </c>
      <c r="F8" s="64">
        <v>3195</v>
      </c>
      <c r="G8" s="64">
        <v>3195</v>
      </c>
      <c r="H8" s="61">
        <f t="shared" si="1"/>
        <v>383.4</v>
      </c>
      <c r="I8" s="21">
        <f t="shared" si="0"/>
        <v>383.4</v>
      </c>
    </row>
    <row r="9" spans="1:9" s="19" customFormat="1" ht="15.75" x14ac:dyDescent="0.25">
      <c r="A9" s="45">
        <v>96</v>
      </c>
      <c r="B9" s="57">
        <v>100071591724</v>
      </c>
      <c r="C9" s="58" t="s">
        <v>21</v>
      </c>
      <c r="D9" s="65" t="s">
        <v>21</v>
      </c>
      <c r="E9" s="65">
        <v>30</v>
      </c>
      <c r="F9" s="64">
        <v>5500</v>
      </c>
      <c r="G9" s="64">
        <v>5500</v>
      </c>
      <c r="H9" s="61">
        <f t="shared" si="1"/>
        <v>660</v>
      </c>
      <c r="I9" s="21">
        <f t="shared" si="0"/>
        <v>660</v>
      </c>
    </row>
    <row r="10" spans="1:9" s="19" customFormat="1" ht="15.75" x14ac:dyDescent="0.25">
      <c r="A10" s="45">
        <v>112</v>
      </c>
      <c r="B10" s="57">
        <v>100353622159</v>
      </c>
      <c r="C10" s="58" t="s">
        <v>24</v>
      </c>
      <c r="D10" s="65" t="s">
        <v>25</v>
      </c>
      <c r="E10" s="48">
        <v>30</v>
      </c>
      <c r="F10" s="48">
        <v>5500</v>
      </c>
      <c r="G10" s="48">
        <v>5500</v>
      </c>
      <c r="H10" s="61">
        <f t="shared" si="1"/>
        <v>660</v>
      </c>
      <c r="I10" s="21">
        <f t="shared" si="0"/>
        <v>660</v>
      </c>
    </row>
    <row r="11" spans="1:9" s="19" customFormat="1" ht="15.75" x14ac:dyDescent="0.25">
      <c r="A11" s="45">
        <v>126</v>
      </c>
      <c r="B11" s="57">
        <v>100358535750</v>
      </c>
      <c r="C11" s="58" t="s">
        <v>26</v>
      </c>
      <c r="D11" s="51" t="s">
        <v>27</v>
      </c>
      <c r="E11" s="69">
        <v>30</v>
      </c>
      <c r="F11" s="69">
        <v>5500</v>
      </c>
      <c r="G11" s="69">
        <v>5500</v>
      </c>
      <c r="H11" s="61">
        <f t="shared" si="1"/>
        <v>660</v>
      </c>
      <c r="I11" s="21">
        <f t="shared" si="0"/>
        <v>660</v>
      </c>
    </row>
    <row r="12" spans="1:9" s="19" customFormat="1" ht="15.75" x14ac:dyDescent="0.25">
      <c r="A12" s="45">
        <v>134</v>
      </c>
      <c r="B12" s="57">
        <v>100084707366</v>
      </c>
      <c r="C12" s="58" t="s">
        <v>28</v>
      </c>
      <c r="D12" s="71" t="s">
        <v>28</v>
      </c>
      <c r="E12" s="48">
        <v>30</v>
      </c>
      <c r="F12" s="71">
        <v>3520</v>
      </c>
      <c r="G12" s="71">
        <v>3520</v>
      </c>
      <c r="H12" s="61">
        <f t="shared" si="1"/>
        <v>422.4</v>
      </c>
      <c r="I12" s="21">
        <f t="shared" si="0"/>
        <v>422.4</v>
      </c>
    </row>
    <row r="13" spans="1:9" s="19" customFormat="1" ht="15.75" x14ac:dyDescent="0.25">
      <c r="A13" s="45">
        <v>136</v>
      </c>
      <c r="B13" s="57">
        <v>100167059875</v>
      </c>
      <c r="C13" s="58" t="s">
        <v>29</v>
      </c>
      <c r="D13" s="65" t="s">
        <v>30</v>
      </c>
      <c r="E13" s="48">
        <v>30</v>
      </c>
      <c r="F13" s="49">
        <v>5500</v>
      </c>
      <c r="G13" s="49">
        <v>5500</v>
      </c>
      <c r="H13" s="61">
        <f t="shared" si="1"/>
        <v>660</v>
      </c>
      <c r="I13" s="21">
        <f t="shared" si="0"/>
        <v>660</v>
      </c>
    </row>
    <row r="14" spans="1:9" s="19" customFormat="1" ht="15.75" x14ac:dyDescent="0.25">
      <c r="A14" s="45">
        <v>149</v>
      </c>
      <c r="B14" s="57">
        <v>100333985226</v>
      </c>
      <c r="C14" s="58" t="s">
        <v>31</v>
      </c>
      <c r="D14" s="51" t="s">
        <v>32</v>
      </c>
      <c r="E14" s="72">
        <v>30</v>
      </c>
      <c r="F14" s="72">
        <v>2500</v>
      </c>
      <c r="G14" s="72">
        <v>2500</v>
      </c>
      <c r="H14" s="61">
        <f t="shared" si="1"/>
        <v>300</v>
      </c>
      <c r="I14" s="21">
        <f t="shared" si="0"/>
        <v>300</v>
      </c>
    </row>
    <row r="15" spans="1:9" s="19" customFormat="1" ht="15.75" x14ac:dyDescent="0.25">
      <c r="A15" s="45">
        <v>169</v>
      </c>
      <c r="B15" s="57">
        <v>100112097052</v>
      </c>
      <c r="C15" s="58" t="s">
        <v>116</v>
      </c>
      <c r="D15" s="73" t="s">
        <v>117</v>
      </c>
      <c r="E15" s="60">
        <v>30</v>
      </c>
      <c r="F15" s="74">
        <v>5500</v>
      </c>
      <c r="G15" s="74">
        <v>5500</v>
      </c>
      <c r="H15" s="61">
        <f t="shared" si="1"/>
        <v>660</v>
      </c>
      <c r="I15" s="21"/>
    </row>
    <row r="16" spans="1:9" s="19" customFormat="1" ht="15.75" x14ac:dyDescent="0.25">
      <c r="A16" s="45">
        <v>186</v>
      </c>
      <c r="B16" s="57">
        <v>100353962659</v>
      </c>
      <c r="C16" s="58" t="s">
        <v>118</v>
      </c>
      <c r="D16" s="51" t="s">
        <v>119</v>
      </c>
      <c r="E16" s="72">
        <v>30</v>
      </c>
      <c r="F16" s="72">
        <v>1000</v>
      </c>
      <c r="G16" s="72">
        <v>1000</v>
      </c>
      <c r="H16" s="61">
        <f t="shared" si="1"/>
        <v>120</v>
      </c>
      <c r="I16" s="21"/>
    </row>
    <row r="17" spans="1:256" s="19" customFormat="1" ht="15.75" x14ac:dyDescent="0.25">
      <c r="A17" s="45">
        <v>191</v>
      </c>
      <c r="B17" s="57">
        <v>100094359606</v>
      </c>
      <c r="C17" s="58" t="s">
        <v>33</v>
      </c>
      <c r="D17" s="75" t="s">
        <v>33</v>
      </c>
      <c r="E17" s="75">
        <v>30</v>
      </c>
      <c r="F17" s="75">
        <v>2500</v>
      </c>
      <c r="G17" s="75">
        <v>2500</v>
      </c>
      <c r="H17" s="61">
        <f t="shared" si="1"/>
        <v>300</v>
      </c>
      <c r="I17" s="21">
        <f t="shared" si="0"/>
        <v>300</v>
      </c>
    </row>
    <row r="18" spans="1:256" s="19" customFormat="1" ht="15.75" x14ac:dyDescent="0.25">
      <c r="A18" s="45">
        <v>195</v>
      </c>
      <c r="B18" s="57">
        <v>100235466823</v>
      </c>
      <c r="C18" s="58" t="s">
        <v>34</v>
      </c>
      <c r="D18" s="75" t="s">
        <v>35</v>
      </c>
      <c r="E18" s="75">
        <v>30</v>
      </c>
      <c r="F18" s="75">
        <v>5500</v>
      </c>
      <c r="G18" s="75">
        <v>5500</v>
      </c>
      <c r="H18" s="61">
        <f t="shared" si="1"/>
        <v>660</v>
      </c>
      <c r="I18" s="21">
        <f t="shared" si="0"/>
        <v>660</v>
      </c>
    </row>
    <row r="19" spans="1:256" s="19" customFormat="1" ht="16.5" customHeight="1" x14ac:dyDescent="0.25">
      <c r="A19" s="45">
        <v>199</v>
      </c>
      <c r="B19" s="57">
        <v>100232183759</v>
      </c>
      <c r="C19" s="58" t="s">
        <v>36</v>
      </c>
      <c r="D19" s="76" t="s">
        <v>36</v>
      </c>
      <c r="E19" s="45">
        <v>30</v>
      </c>
      <c r="F19" s="57">
        <v>2500</v>
      </c>
      <c r="G19" s="57">
        <v>2500</v>
      </c>
      <c r="H19" s="61">
        <f t="shared" si="1"/>
        <v>300</v>
      </c>
      <c r="I19" s="44"/>
      <c r="J19" s="16"/>
      <c r="K19" s="17"/>
      <c r="L19" s="52"/>
      <c r="M19" s="44"/>
      <c r="N19" s="16"/>
      <c r="O19" s="17"/>
      <c r="P19" s="52"/>
      <c r="Q19" s="44"/>
      <c r="R19" s="16"/>
      <c r="S19" s="17"/>
      <c r="T19" s="52"/>
      <c r="U19" s="44"/>
      <c r="V19" s="16"/>
      <c r="W19" s="17"/>
      <c r="X19" s="52"/>
      <c r="Y19" s="44"/>
      <c r="Z19" s="16"/>
      <c r="AA19" s="17"/>
      <c r="AB19" s="52"/>
      <c r="AC19" s="44"/>
      <c r="AD19" s="16"/>
      <c r="AE19" s="17"/>
      <c r="AF19" s="52"/>
      <c r="AG19" s="44"/>
      <c r="AH19" s="16"/>
      <c r="AI19" s="17"/>
      <c r="AJ19" s="52"/>
      <c r="AK19" s="44"/>
      <c r="AL19" s="16"/>
      <c r="AM19" s="17"/>
      <c r="AN19" s="52"/>
      <c r="AO19" s="44"/>
      <c r="AP19" s="16"/>
      <c r="AQ19" s="17"/>
      <c r="AR19" s="52"/>
      <c r="AS19" s="44"/>
      <c r="AT19" s="16"/>
      <c r="AU19" s="17"/>
      <c r="AV19" s="52"/>
      <c r="AW19" s="44"/>
      <c r="AX19" s="16"/>
      <c r="AY19" s="17"/>
      <c r="AZ19" s="52"/>
      <c r="BA19" s="44"/>
      <c r="BB19" s="16"/>
      <c r="BC19" s="17"/>
      <c r="BD19" s="52"/>
      <c r="BE19" s="44"/>
      <c r="BF19" s="16"/>
      <c r="BG19" s="17"/>
      <c r="BH19" s="52"/>
      <c r="BI19" s="44"/>
      <c r="BJ19" s="16"/>
      <c r="BK19" s="17"/>
      <c r="BL19" s="52"/>
      <c r="BM19" s="44"/>
      <c r="BN19" s="16"/>
      <c r="BO19" s="17"/>
      <c r="BP19" s="52"/>
      <c r="BQ19" s="44"/>
      <c r="BR19" s="16"/>
      <c r="BS19" s="17"/>
      <c r="BT19" s="52"/>
      <c r="BU19" s="44"/>
      <c r="BV19" s="16"/>
      <c r="BW19" s="17"/>
      <c r="BX19" s="52"/>
      <c r="BY19" s="44"/>
      <c r="BZ19" s="16"/>
      <c r="CA19" s="17"/>
      <c r="CB19" s="52"/>
      <c r="CC19" s="44">
        <v>199</v>
      </c>
      <c r="CD19" s="16">
        <v>100232183759</v>
      </c>
      <c r="CE19" s="17" t="s">
        <v>36</v>
      </c>
      <c r="CF19" s="52" t="s">
        <v>36</v>
      </c>
      <c r="CG19" s="44">
        <v>199</v>
      </c>
      <c r="CH19" s="16">
        <v>100232183759</v>
      </c>
      <c r="CI19" s="17" t="s">
        <v>36</v>
      </c>
      <c r="CJ19" s="52" t="s">
        <v>36</v>
      </c>
      <c r="CK19" s="44">
        <v>199</v>
      </c>
      <c r="CL19" s="16">
        <v>100232183759</v>
      </c>
      <c r="CM19" s="17" t="s">
        <v>36</v>
      </c>
      <c r="CN19" s="52" t="s">
        <v>36</v>
      </c>
      <c r="CO19" s="44">
        <v>199</v>
      </c>
      <c r="CP19" s="16">
        <v>100232183759</v>
      </c>
      <c r="CQ19" s="17" t="s">
        <v>36</v>
      </c>
      <c r="CR19" s="52" t="s">
        <v>36</v>
      </c>
      <c r="CS19" s="44">
        <v>199</v>
      </c>
      <c r="CT19" s="16">
        <v>100232183759</v>
      </c>
      <c r="CU19" s="17" t="s">
        <v>36</v>
      </c>
      <c r="CV19" s="52" t="s">
        <v>36</v>
      </c>
      <c r="CW19" s="44">
        <v>199</v>
      </c>
      <c r="CX19" s="16">
        <v>100232183759</v>
      </c>
      <c r="CY19" s="17" t="s">
        <v>36</v>
      </c>
      <c r="CZ19" s="52" t="s">
        <v>36</v>
      </c>
      <c r="DA19" s="44">
        <v>199</v>
      </c>
      <c r="DB19" s="16">
        <v>100232183759</v>
      </c>
      <c r="DC19" s="17" t="s">
        <v>36</v>
      </c>
      <c r="DD19" s="52" t="s">
        <v>36</v>
      </c>
      <c r="DE19" s="44">
        <v>199</v>
      </c>
      <c r="DF19" s="16">
        <v>100232183759</v>
      </c>
      <c r="DG19" s="17" t="s">
        <v>36</v>
      </c>
      <c r="DH19" s="52" t="s">
        <v>36</v>
      </c>
      <c r="DI19" s="44">
        <v>199</v>
      </c>
      <c r="DJ19" s="16">
        <v>100232183759</v>
      </c>
      <c r="DK19" s="17" t="s">
        <v>36</v>
      </c>
      <c r="DL19" s="52" t="s">
        <v>36</v>
      </c>
      <c r="DM19" s="44">
        <v>199</v>
      </c>
      <c r="DN19" s="16">
        <v>100232183759</v>
      </c>
      <c r="DO19" s="17" t="s">
        <v>36</v>
      </c>
      <c r="DP19" s="52" t="s">
        <v>36</v>
      </c>
      <c r="DQ19" s="44">
        <v>199</v>
      </c>
      <c r="DR19" s="16">
        <v>100232183759</v>
      </c>
      <c r="DS19" s="17" t="s">
        <v>36</v>
      </c>
      <c r="DT19" s="52" t="s">
        <v>36</v>
      </c>
      <c r="DU19" s="44">
        <v>199</v>
      </c>
      <c r="DV19" s="16">
        <v>100232183759</v>
      </c>
      <c r="DW19" s="17" t="s">
        <v>36</v>
      </c>
      <c r="DX19" s="52" t="s">
        <v>36</v>
      </c>
      <c r="DY19" s="44">
        <v>199</v>
      </c>
      <c r="DZ19" s="16">
        <v>100232183759</v>
      </c>
      <c r="EA19" s="17" t="s">
        <v>36</v>
      </c>
      <c r="EB19" s="52" t="s">
        <v>36</v>
      </c>
      <c r="EC19" s="44">
        <v>199</v>
      </c>
      <c r="ED19" s="16">
        <v>100232183759</v>
      </c>
      <c r="EE19" s="17" t="s">
        <v>36</v>
      </c>
      <c r="EF19" s="52" t="s">
        <v>36</v>
      </c>
      <c r="EG19" s="44">
        <v>199</v>
      </c>
      <c r="EH19" s="16">
        <v>100232183759</v>
      </c>
      <c r="EI19" s="17" t="s">
        <v>36</v>
      </c>
      <c r="EJ19" s="52" t="s">
        <v>36</v>
      </c>
      <c r="EK19" s="44">
        <v>199</v>
      </c>
      <c r="EL19" s="16">
        <v>100232183759</v>
      </c>
      <c r="EM19" s="17" t="s">
        <v>36</v>
      </c>
      <c r="EN19" s="52" t="s">
        <v>36</v>
      </c>
      <c r="EO19" s="44">
        <v>199</v>
      </c>
      <c r="EP19" s="16">
        <v>100232183759</v>
      </c>
      <c r="EQ19" s="17" t="s">
        <v>36</v>
      </c>
      <c r="ER19" s="52" t="s">
        <v>36</v>
      </c>
      <c r="ES19" s="44">
        <v>199</v>
      </c>
      <c r="ET19" s="16">
        <v>100232183759</v>
      </c>
      <c r="EU19" s="17" t="s">
        <v>36</v>
      </c>
      <c r="EV19" s="52" t="s">
        <v>36</v>
      </c>
      <c r="EW19" s="44">
        <v>199</v>
      </c>
      <c r="EX19" s="16">
        <v>100232183759</v>
      </c>
      <c r="EY19" s="17" t="s">
        <v>36</v>
      </c>
      <c r="EZ19" s="52" t="s">
        <v>36</v>
      </c>
      <c r="FA19" s="44">
        <v>199</v>
      </c>
      <c r="FB19" s="16">
        <v>100232183759</v>
      </c>
      <c r="FC19" s="17" t="s">
        <v>36</v>
      </c>
      <c r="FD19" s="52" t="s">
        <v>36</v>
      </c>
      <c r="FE19" s="44">
        <v>199</v>
      </c>
      <c r="FF19" s="16">
        <v>100232183759</v>
      </c>
      <c r="FG19" s="17" t="s">
        <v>36</v>
      </c>
      <c r="FH19" s="52" t="s">
        <v>36</v>
      </c>
      <c r="FI19" s="44">
        <v>199</v>
      </c>
      <c r="FJ19" s="16">
        <v>100232183759</v>
      </c>
      <c r="FK19" s="17" t="s">
        <v>36</v>
      </c>
      <c r="FL19" s="52" t="s">
        <v>36</v>
      </c>
      <c r="FM19" s="44">
        <v>199</v>
      </c>
      <c r="FN19" s="16">
        <v>100232183759</v>
      </c>
      <c r="FO19" s="17" t="s">
        <v>36</v>
      </c>
      <c r="FP19" s="52" t="s">
        <v>36</v>
      </c>
      <c r="FQ19" s="44">
        <v>199</v>
      </c>
      <c r="FR19" s="16">
        <v>100232183759</v>
      </c>
      <c r="FS19" s="17" t="s">
        <v>36</v>
      </c>
      <c r="FT19" s="52" t="s">
        <v>36</v>
      </c>
      <c r="FU19" s="44">
        <v>199</v>
      </c>
      <c r="FV19" s="16">
        <v>100232183759</v>
      </c>
      <c r="FW19" s="17" t="s">
        <v>36</v>
      </c>
      <c r="FX19" s="52" t="s">
        <v>36</v>
      </c>
      <c r="FY19" s="44">
        <v>199</v>
      </c>
      <c r="FZ19" s="16">
        <v>100232183759</v>
      </c>
      <c r="GA19" s="17" t="s">
        <v>36</v>
      </c>
      <c r="GB19" s="52" t="s">
        <v>36</v>
      </c>
      <c r="GC19" s="44">
        <v>199</v>
      </c>
      <c r="GD19" s="16">
        <v>100232183759</v>
      </c>
      <c r="GE19" s="17" t="s">
        <v>36</v>
      </c>
      <c r="GF19" s="52" t="s">
        <v>36</v>
      </c>
      <c r="GG19" s="44">
        <v>199</v>
      </c>
      <c r="GH19" s="16">
        <v>100232183759</v>
      </c>
      <c r="GI19" s="17" t="s">
        <v>36</v>
      </c>
      <c r="GJ19" s="52" t="s">
        <v>36</v>
      </c>
      <c r="GK19" s="44">
        <v>199</v>
      </c>
      <c r="GL19" s="16">
        <v>100232183759</v>
      </c>
      <c r="GM19" s="17" t="s">
        <v>36</v>
      </c>
      <c r="GN19" s="52" t="s">
        <v>36</v>
      </c>
      <c r="GO19" s="44">
        <v>199</v>
      </c>
      <c r="GP19" s="16">
        <v>100232183759</v>
      </c>
      <c r="GQ19" s="17" t="s">
        <v>36</v>
      </c>
      <c r="GR19" s="52" t="s">
        <v>36</v>
      </c>
      <c r="GS19" s="44">
        <v>199</v>
      </c>
      <c r="GT19" s="16">
        <v>100232183759</v>
      </c>
      <c r="GU19" s="17" t="s">
        <v>36</v>
      </c>
      <c r="GV19" s="52" t="s">
        <v>36</v>
      </c>
      <c r="GW19" s="44">
        <v>199</v>
      </c>
      <c r="GX19" s="16">
        <v>100232183759</v>
      </c>
      <c r="GY19" s="17" t="s">
        <v>36</v>
      </c>
      <c r="GZ19" s="52" t="s">
        <v>36</v>
      </c>
      <c r="HA19" s="44">
        <v>199</v>
      </c>
      <c r="HB19" s="16">
        <v>100232183759</v>
      </c>
      <c r="HC19" s="17" t="s">
        <v>36</v>
      </c>
      <c r="HD19" s="52" t="s">
        <v>36</v>
      </c>
      <c r="HE19" s="44">
        <v>199</v>
      </c>
      <c r="HF19" s="16">
        <v>100232183759</v>
      </c>
      <c r="HG19" s="17" t="s">
        <v>36</v>
      </c>
      <c r="HH19" s="52" t="s">
        <v>36</v>
      </c>
      <c r="HI19" s="44">
        <v>199</v>
      </c>
      <c r="HJ19" s="16">
        <v>100232183759</v>
      </c>
      <c r="HK19" s="17" t="s">
        <v>36</v>
      </c>
      <c r="HL19" s="52" t="s">
        <v>36</v>
      </c>
      <c r="HM19" s="44">
        <v>199</v>
      </c>
      <c r="HN19" s="16">
        <v>100232183759</v>
      </c>
      <c r="HO19" s="17" t="s">
        <v>36</v>
      </c>
      <c r="HP19" s="52" t="s">
        <v>36</v>
      </c>
      <c r="HQ19" s="44">
        <v>199</v>
      </c>
      <c r="HR19" s="16">
        <v>100232183759</v>
      </c>
      <c r="HS19" s="17" t="s">
        <v>36</v>
      </c>
      <c r="HT19" s="52" t="s">
        <v>36</v>
      </c>
      <c r="HU19" s="44">
        <v>199</v>
      </c>
      <c r="HV19" s="16">
        <v>100232183759</v>
      </c>
      <c r="HW19" s="17" t="s">
        <v>36</v>
      </c>
      <c r="HX19" s="52" t="s">
        <v>36</v>
      </c>
      <c r="HY19" s="44">
        <v>199</v>
      </c>
      <c r="HZ19" s="16">
        <v>100232183759</v>
      </c>
      <c r="IA19" s="17" t="s">
        <v>36</v>
      </c>
      <c r="IB19" s="52" t="s">
        <v>36</v>
      </c>
      <c r="IC19" s="44">
        <v>199</v>
      </c>
      <c r="ID19" s="16">
        <v>100232183759</v>
      </c>
      <c r="IE19" s="17" t="s">
        <v>36</v>
      </c>
      <c r="IF19" s="52" t="s">
        <v>36</v>
      </c>
      <c r="IG19" s="44">
        <v>199</v>
      </c>
      <c r="IH19" s="16">
        <v>100232183759</v>
      </c>
      <c r="II19" s="17" t="s">
        <v>36</v>
      </c>
      <c r="IJ19" s="52" t="s">
        <v>36</v>
      </c>
      <c r="IK19" s="44">
        <v>199</v>
      </c>
      <c r="IL19" s="16">
        <v>100232183759</v>
      </c>
      <c r="IM19" s="17" t="s">
        <v>36</v>
      </c>
      <c r="IN19" s="52" t="s">
        <v>36</v>
      </c>
      <c r="IO19" s="44">
        <v>199</v>
      </c>
      <c r="IP19" s="16">
        <v>100232183759</v>
      </c>
      <c r="IQ19" s="17" t="s">
        <v>36</v>
      </c>
      <c r="IR19" s="52" t="s">
        <v>36</v>
      </c>
      <c r="IS19" s="44">
        <v>199</v>
      </c>
      <c r="IT19" s="16">
        <v>100232183759</v>
      </c>
      <c r="IU19" s="17" t="s">
        <v>36</v>
      </c>
      <c r="IV19" s="52" t="s">
        <v>36</v>
      </c>
    </row>
    <row r="20" spans="1:256" s="19" customFormat="1" ht="30" x14ac:dyDescent="0.25">
      <c r="A20" s="45">
        <v>204</v>
      </c>
      <c r="B20" s="57">
        <v>100232169483</v>
      </c>
      <c r="C20" s="58" t="s">
        <v>37</v>
      </c>
      <c r="D20" s="75" t="s">
        <v>38</v>
      </c>
      <c r="E20" s="50">
        <v>30</v>
      </c>
      <c r="F20" s="50">
        <v>5500</v>
      </c>
      <c r="G20" s="50">
        <v>5500</v>
      </c>
      <c r="H20" s="61">
        <f t="shared" si="1"/>
        <v>660</v>
      </c>
      <c r="I20" s="21">
        <f t="shared" si="0"/>
        <v>660</v>
      </c>
    </row>
    <row r="21" spans="1:256" s="19" customFormat="1" ht="15.75" x14ac:dyDescent="0.25">
      <c r="A21" s="45">
        <v>224</v>
      </c>
      <c r="B21" s="57">
        <v>100112371371</v>
      </c>
      <c r="C21" s="58" t="s">
        <v>39</v>
      </c>
      <c r="D21" s="77" t="s">
        <v>40</v>
      </c>
      <c r="E21" s="75">
        <v>30</v>
      </c>
      <c r="F21" s="77">
        <v>5500</v>
      </c>
      <c r="G21" s="77">
        <v>5500</v>
      </c>
      <c r="H21" s="61">
        <f t="shared" si="1"/>
        <v>660</v>
      </c>
      <c r="I21" s="21">
        <f>G21*12/100</f>
        <v>660</v>
      </c>
    </row>
    <row r="22" spans="1:256" s="19" customFormat="1" ht="15.75" x14ac:dyDescent="0.25">
      <c r="A22" s="45">
        <v>226</v>
      </c>
      <c r="B22" s="57">
        <v>100310052599</v>
      </c>
      <c r="C22" s="58" t="s">
        <v>41</v>
      </c>
      <c r="D22" s="78" t="s">
        <v>42</v>
      </c>
      <c r="E22" s="50">
        <v>30</v>
      </c>
      <c r="F22" s="77">
        <v>2500</v>
      </c>
      <c r="G22" s="77">
        <v>2500</v>
      </c>
      <c r="H22" s="61">
        <f t="shared" si="1"/>
        <v>300</v>
      </c>
      <c r="I22" s="21"/>
    </row>
    <row r="23" spans="1:256" s="19" customFormat="1" ht="15.75" x14ac:dyDescent="0.25">
      <c r="A23" s="45">
        <v>252</v>
      </c>
      <c r="B23" s="57">
        <v>100373345016</v>
      </c>
      <c r="C23" s="58" t="s">
        <v>43</v>
      </c>
      <c r="D23" s="79" t="s">
        <v>44</v>
      </c>
      <c r="E23" s="77">
        <v>30</v>
      </c>
      <c r="F23" s="80">
        <v>5500</v>
      </c>
      <c r="G23" s="80">
        <v>5500</v>
      </c>
      <c r="H23" s="61">
        <f t="shared" si="1"/>
        <v>660</v>
      </c>
      <c r="I23" s="21">
        <f>G23*12/100</f>
        <v>660</v>
      </c>
    </row>
    <row r="24" spans="1:256" s="19" customFormat="1" ht="15.75" x14ac:dyDescent="0.25">
      <c r="A24" s="45">
        <v>269</v>
      </c>
      <c r="B24" s="57">
        <v>100353847332</v>
      </c>
      <c r="C24" s="58" t="s">
        <v>46</v>
      </c>
      <c r="D24" s="83" t="s">
        <v>47</v>
      </c>
      <c r="E24" s="83">
        <v>30</v>
      </c>
      <c r="F24" s="84">
        <v>5500</v>
      </c>
      <c r="G24" s="84">
        <v>5500</v>
      </c>
      <c r="H24" s="61">
        <f t="shared" si="1"/>
        <v>660</v>
      </c>
      <c r="I24" s="21">
        <f t="shared" ref="I24:I51" si="2">G24*12/100</f>
        <v>660</v>
      </c>
    </row>
    <row r="25" spans="1:256" s="19" customFormat="1" ht="15.75" x14ac:dyDescent="0.25">
      <c r="A25" s="45">
        <v>309</v>
      </c>
      <c r="B25" s="57">
        <v>100353888563</v>
      </c>
      <c r="C25" s="58" t="s">
        <v>48</v>
      </c>
      <c r="D25" s="85" t="s">
        <v>48</v>
      </c>
      <c r="E25" s="83">
        <v>30</v>
      </c>
      <c r="F25" s="84">
        <v>5500</v>
      </c>
      <c r="G25" s="84">
        <v>5500</v>
      </c>
      <c r="H25" s="61">
        <f t="shared" si="1"/>
        <v>660</v>
      </c>
      <c r="I25" s="21"/>
    </row>
    <row r="26" spans="1:256" s="19" customFormat="1" ht="15.75" x14ac:dyDescent="0.25">
      <c r="A26" s="45">
        <v>324</v>
      </c>
      <c r="B26" s="57">
        <v>100366458827</v>
      </c>
      <c r="C26" s="58" t="s">
        <v>51</v>
      </c>
      <c r="D26" s="87" t="s">
        <v>52</v>
      </c>
      <c r="E26" s="88">
        <v>30</v>
      </c>
      <c r="F26" s="89">
        <v>5500</v>
      </c>
      <c r="G26" s="89">
        <v>5500</v>
      </c>
      <c r="H26" s="61">
        <f t="shared" si="1"/>
        <v>660</v>
      </c>
      <c r="I26" s="21">
        <f t="shared" si="2"/>
        <v>660</v>
      </c>
    </row>
    <row r="27" spans="1:256" s="19" customFormat="1" ht="26.25" x14ac:dyDescent="0.25">
      <c r="A27" s="45">
        <v>326</v>
      </c>
      <c r="B27" s="57">
        <v>100353855918</v>
      </c>
      <c r="C27" s="58" t="s">
        <v>53</v>
      </c>
      <c r="D27" s="90" t="s">
        <v>54</v>
      </c>
      <c r="E27" s="88">
        <v>30</v>
      </c>
      <c r="F27" s="89">
        <v>5500</v>
      </c>
      <c r="G27" s="89">
        <v>5500</v>
      </c>
      <c r="H27" s="61">
        <f t="shared" si="1"/>
        <v>660</v>
      </c>
      <c r="I27" s="21">
        <f t="shared" si="2"/>
        <v>660</v>
      </c>
    </row>
    <row r="28" spans="1:256" s="19" customFormat="1" ht="15.75" x14ac:dyDescent="0.25">
      <c r="A28" s="45">
        <v>335</v>
      </c>
      <c r="B28" s="57">
        <v>100353697416</v>
      </c>
      <c r="C28" s="58" t="s">
        <v>55</v>
      </c>
      <c r="D28" s="91" t="s">
        <v>56</v>
      </c>
      <c r="E28" s="88">
        <v>30</v>
      </c>
      <c r="F28" s="89">
        <v>1700</v>
      </c>
      <c r="G28" s="89">
        <v>1700</v>
      </c>
      <c r="H28" s="61">
        <f t="shared" si="1"/>
        <v>204</v>
      </c>
      <c r="I28" s="21"/>
    </row>
    <row r="29" spans="1:256" s="19" customFormat="1" ht="15.75" x14ac:dyDescent="0.25">
      <c r="A29" s="45">
        <v>337</v>
      </c>
      <c r="B29" s="57">
        <v>100353650100</v>
      </c>
      <c r="C29" s="58" t="s">
        <v>57</v>
      </c>
      <c r="D29" s="92" t="s">
        <v>58</v>
      </c>
      <c r="E29" s="88">
        <v>30</v>
      </c>
      <c r="F29" s="89">
        <v>5500</v>
      </c>
      <c r="G29" s="89">
        <v>5500</v>
      </c>
      <c r="H29" s="61">
        <f t="shared" si="1"/>
        <v>660</v>
      </c>
      <c r="I29" s="21">
        <f t="shared" si="2"/>
        <v>660</v>
      </c>
    </row>
    <row r="30" spans="1:256" s="19" customFormat="1" ht="15.75" x14ac:dyDescent="0.25">
      <c r="A30" s="45">
        <v>372</v>
      </c>
      <c r="B30" s="57">
        <v>100091836225</v>
      </c>
      <c r="C30" s="58" t="s">
        <v>63</v>
      </c>
      <c r="D30" s="95" t="s">
        <v>64</v>
      </c>
      <c r="E30" s="83">
        <v>30</v>
      </c>
      <c r="F30" s="96">
        <v>5500</v>
      </c>
      <c r="G30" s="96">
        <v>5500</v>
      </c>
      <c r="H30" s="61">
        <f t="shared" si="1"/>
        <v>660</v>
      </c>
      <c r="I30" s="21">
        <f t="shared" si="2"/>
        <v>660</v>
      </c>
    </row>
    <row r="31" spans="1:256" s="19" customFormat="1" ht="15.75" x14ac:dyDescent="0.25">
      <c r="A31" s="45">
        <v>378</v>
      </c>
      <c r="B31" s="57">
        <v>100283282515</v>
      </c>
      <c r="C31" s="58" t="s">
        <v>65</v>
      </c>
      <c r="D31" s="95" t="s">
        <v>65</v>
      </c>
      <c r="E31" s="83">
        <v>30</v>
      </c>
      <c r="F31" s="89">
        <v>5500</v>
      </c>
      <c r="G31" s="89">
        <v>5500</v>
      </c>
      <c r="H31" s="61">
        <f t="shared" si="1"/>
        <v>660</v>
      </c>
      <c r="I31" s="21">
        <f t="shared" si="2"/>
        <v>660</v>
      </c>
    </row>
    <row r="32" spans="1:256" s="19" customFormat="1" ht="15.75" x14ac:dyDescent="0.25">
      <c r="A32" s="45">
        <v>390</v>
      </c>
      <c r="B32" s="57">
        <v>100353938598</v>
      </c>
      <c r="C32" s="58" t="s">
        <v>66</v>
      </c>
      <c r="D32" s="92" t="s">
        <v>67</v>
      </c>
      <c r="E32" s="83">
        <v>30</v>
      </c>
      <c r="F32" s="88">
        <v>5500</v>
      </c>
      <c r="G32" s="88">
        <v>5500</v>
      </c>
      <c r="H32" s="61">
        <f t="shared" si="1"/>
        <v>660</v>
      </c>
      <c r="I32" s="21">
        <f t="shared" si="2"/>
        <v>660</v>
      </c>
    </row>
    <row r="33" spans="1:9" s="19" customFormat="1" ht="15.75" x14ac:dyDescent="0.25">
      <c r="A33" s="45">
        <v>391</v>
      </c>
      <c r="B33" s="57">
        <v>100353855034</v>
      </c>
      <c r="C33" s="58" t="s">
        <v>68</v>
      </c>
      <c r="D33" s="97" t="s">
        <v>69</v>
      </c>
      <c r="E33" s="83">
        <v>30</v>
      </c>
      <c r="F33" s="88">
        <v>3475</v>
      </c>
      <c r="G33" s="88">
        <v>3475</v>
      </c>
      <c r="H33" s="61">
        <f t="shared" si="1"/>
        <v>417</v>
      </c>
      <c r="I33" s="21"/>
    </row>
    <row r="34" spans="1:9" s="19" customFormat="1" ht="15.75" x14ac:dyDescent="0.25">
      <c r="A34" s="45">
        <v>400</v>
      </c>
      <c r="B34" s="57">
        <v>100358397938</v>
      </c>
      <c r="C34" s="58" t="s">
        <v>70</v>
      </c>
      <c r="D34" s="98" t="s">
        <v>71</v>
      </c>
      <c r="E34" s="83">
        <v>30</v>
      </c>
      <c r="F34" s="88">
        <v>5500</v>
      </c>
      <c r="G34" s="88">
        <v>5500</v>
      </c>
      <c r="H34" s="61">
        <f t="shared" si="1"/>
        <v>660</v>
      </c>
      <c r="I34" s="21">
        <f t="shared" si="2"/>
        <v>660</v>
      </c>
    </row>
    <row r="35" spans="1:9" s="19" customFormat="1" ht="18" x14ac:dyDescent="0.25">
      <c r="A35" s="45">
        <v>415</v>
      </c>
      <c r="B35" s="57">
        <v>100358404005</v>
      </c>
      <c r="C35" s="58" t="s">
        <v>72</v>
      </c>
      <c r="D35" s="99" t="s">
        <v>73</v>
      </c>
      <c r="E35" s="83">
        <v>30</v>
      </c>
      <c r="F35" s="88">
        <v>2500</v>
      </c>
      <c r="G35" s="88">
        <v>2500</v>
      </c>
      <c r="H35" s="61">
        <f t="shared" si="1"/>
        <v>300</v>
      </c>
      <c r="I35" s="21"/>
    </row>
    <row r="36" spans="1:9" s="19" customFormat="1" ht="15.75" x14ac:dyDescent="0.25">
      <c r="A36" s="45">
        <v>429</v>
      </c>
      <c r="B36" s="57">
        <v>100140247570</v>
      </c>
      <c r="C36" s="58" t="s">
        <v>74</v>
      </c>
      <c r="D36" s="55" t="s">
        <v>74</v>
      </c>
      <c r="E36" s="83">
        <v>30</v>
      </c>
      <c r="F36" s="88">
        <v>2081</v>
      </c>
      <c r="G36" s="88">
        <v>2081</v>
      </c>
      <c r="H36" s="61">
        <f t="shared" si="1"/>
        <v>249.72</v>
      </c>
      <c r="I36" s="21"/>
    </row>
    <row r="37" spans="1:9" s="19" customFormat="1" ht="16.5" x14ac:dyDescent="0.25">
      <c r="A37" s="45">
        <v>434</v>
      </c>
      <c r="B37" s="57">
        <v>100353735967</v>
      </c>
      <c r="C37" s="58" t="s">
        <v>75</v>
      </c>
      <c r="D37" s="100" t="s">
        <v>76</v>
      </c>
      <c r="E37" s="83">
        <v>30</v>
      </c>
      <c r="F37" s="54">
        <v>5500</v>
      </c>
      <c r="G37" s="54">
        <v>5500</v>
      </c>
      <c r="H37" s="61">
        <f t="shared" si="1"/>
        <v>660</v>
      </c>
      <c r="I37" s="21">
        <f t="shared" si="2"/>
        <v>660</v>
      </c>
    </row>
    <row r="38" spans="1:9" s="19" customFormat="1" ht="16.5" x14ac:dyDescent="0.25">
      <c r="A38" s="45">
        <v>435</v>
      </c>
      <c r="B38" s="57">
        <v>100358401923</v>
      </c>
      <c r="C38" s="58" t="s">
        <v>77</v>
      </c>
      <c r="D38" s="100" t="s">
        <v>78</v>
      </c>
      <c r="E38" s="83">
        <v>30</v>
      </c>
      <c r="F38" s="54">
        <v>2000</v>
      </c>
      <c r="G38" s="54">
        <v>2000</v>
      </c>
      <c r="H38" s="61">
        <f t="shared" si="1"/>
        <v>240</v>
      </c>
      <c r="I38" s="21">
        <f t="shared" si="2"/>
        <v>240</v>
      </c>
    </row>
    <row r="39" spans="1:9" s="19" customFormat="1" ht="18" x14ac:dyDescent="0.25">
      <c r="A39" s="45">
        <v>443</v>
      </c>
      <c r="B39" s="57">
        <v>100205552698</v>
      </c>
      <c r="C39" s="58" t="s">
        <v>79</v>
      </c>
      <c r="D39" s="101" t="s">
        <v>80</v>
      </c>
      <c r="E39" s="83">
        <v>30</v>
      </c>
      <c r="F39" s="102">
        <v>5500</v>
      </c>
      <c r="G39" s="102">
        <v>5500</v>
      </c>
      <c r="H39" s="61">
        <f t="shared" si="1"/>
        <v>660</v>
      </c>
      <c r="I39" s="21">
        <f t="shared" si="2"/>
        <v>660</v>
      </c>
    </row>
    <row r="40" spans="1:9" s="19" customFormat="1" ht="33" x14ac:dyDescent="0.25">
      <c r="A40" s="45">
        <v>447</v>
      </c>
      <c r="B40" s="57">
        <v>100134159284</v>
      </c>
      <c r="C40" s="58" t="s">
        <v>81</v>
      </c>
      <c r="D40" s="103" t="s">
        <v>81</v>
      </c>
      <c r="E40" s="83">
        <v>30</v>
      </c>
      <c r="F40" s="103">
        <v>5500</v>
      </c>
      <c r="G40" s="103">
        <v>5500</v>
      </c>
      <c r="H40" s="61">
        <f t="shared" si="1"/>
        <v>660</v>
      </c>
      <c r="I40" s="21">
        <f t="shared" si="2"/>
        <v>660</v>
      </c>
    </row>
    <row r="41" spans="1:9" s="19" customFormat="1" ht="15.75" x14ac:dyDescent="0.25">
      <c r="A41" s="45">
        <v>451</v>
      </c>
      <c r="B41" s="57">
        <v>100162007981</v>
      </c>
      <c r="C41" s="58" t="s">
        <v>82</v>
      </c>
      <c r="D41" s="51" t="s">
        <v>83</v>
      </c>
      <c r="E41" s="83">
        <v>30</v>
      </c>
      <c r="F41" s="104">
        <v>3195</v>
      </c>
      <c r="G41" s="104">
        <v>3195</v>
      </c>
      <c r="H41" s="61">
        <f t="shared" si="1"/>
        <v>383.4</v>
      </c>
      <c r="I41" s="21">
        <f t="shared" si="2"/>
        <v>383.4</v>
      </c>
    </row>
    <row r="42" spans="1:9" s="19" customFormat="1" ht="33" x14ac:dyDescent="0.25">
      <c r="A42" s="45">
        <v>455</v>
      </c>
      <c r="B42" s="57">
        <v>100333498650</v>
      </c>
      <c r="C42" s="58" t="s">
        <v>84</v>
      </c>
      <c r="D42" s="120" t="s">
        <v>84</v>
      </c>
      <c r="E42" s="83">
        <v>30</v>
      </c>
      <c r="F42" s="104">
        <v>2500</v>
      </c>
      <c r="G42" s="104">
        <v>2500</v>
      </c>
      <c r="H42" s="61">
        <f t="shared" si="1"/>
        <v>300</v>
      </c>
      <c r="I42" s="21"/>
    </row>
    <row r="43" spans="1:9" s="19" customFormat="1" ht="18" x14ac:dyDescent="0.25">
      <c r="A43" s="45">
        <v>466</v>
      </c>
      <c r="B43" s="57">
        <v>100232175087</v>
      </c>
      <c r="C43" s="58" t="s">
        <v>85</v>
      </c>
      <c r="D43" s="106" t="s">
        <v>86</v>
      </c>
      <c r="E43" s="83">
        <v>30</v>
      </c>
      <c r="F43" s="107">
        <v>3195</v>
      </c>
      <c r="G43" s="107">
        <v>3195</v>
      </c>
      <c r="H43" s="61">
        <f t="shared" si="1"/>
        <v>383.4</v>
      </c>
      <c r="I43" s="21">
        <f t="shared" si="2"/>
        <v>383.4</v>
      </c>
    </row>
    <row r="44" spans="1:9" s="19" customFormat="1" ht="15.75" x14ac:dyDescent="0.25">
      <c r="A44" s="45">
        <v>481</v>
      </c>
      <c r="B44" s="57">
        <v>100358411358</v>
      </c>
      <c r="C44" s="58" t="s">
        <v>88</v>
      </c>
      <c r="D44" s="108" t="s">
        <v>87</v>
      </c>
      <c r="E44" s="83">
        <v>30</v>
      </c>
      <c r="F44" s="109">
        <v>5500</v>
      </c>
      <c r="G44" s="109">
        <v>5500</v>
      </c>
      <c r="H44" s="61">
        <f t="shared" si="1"/>
        <v>660</v>
      </c>
      <c r="I44" s="21">
        <f t="shared" si="2"/>
        <v>660</v>
      </c>
    </row>
    <row r="45" spans="1:9" s="19" customFormat="1" ht="15.75" x14ac:dyDescent="0.25">
      <c r="A45" s="45">
        <v>482</v>
      </c>
      <c r="B45" s="57">
        <v>100353504634</v>
      </c>
      <c r="C45" s="58" t="s">
        <v>90</v>
      </c>
      <c r="D45" s="108" t="s">
        <v>89</v>
      </c>
      <c r="E45" s="83">
        <v>30</v>
      </c>
      <c r="F45" s="109">
        <v>5500</v>
      </c>
      <c r="G45" s="109">
        <v>5500</v>
      </c>
      <c r="H45" s="61">
        <f t="shared" si="1"/>
        <v>660</v>
      </c>
      <c r="I45" s="21">
        <f t="shared" si="2"/>
        <v>660</v>
      </c>
    </row>
    <row r="46" spans="1:9" s="19" customFormat="1" ht="15.75" x14ac:dyDescent="0.25">
      <c r="A46" s="45">
        <v>483</v>
      </c>
      <c r="B46" s="57">
        <v>100353780044</v>
      </c>
      <c r="C46" s="58" t="s">
        <v>92</v>
      </c>
      <c r="D46" s="108" t="s">
        <v>91</v>
      </c>
      <c r="E46" s="83">
        <v>30</v>
      </c>
      <c r="F46" s="109">
        <v>5500</v>
      </c>
      <c r="G46" s="109">
        <v>5500</v>
      </c>
      <c r="H46" s="61">
        <f t="shared" si="1"/>
        <v>660</v>
      </c>
      <c r="I46" s="21">
        <f t="shared" si="2"/>
        <v>660</v>
      </c>
    </row>
    <row r="47" spans="1:9" s="19" customFormat="1" ht="15.75" x14ac:dyDescent="0.25">
      <c r="A47" s="45">
        <v>485</v>
      </c>
      <c r="B47" s="57">
        <v>100236190637</v>
      </c>
      <c r="C47" s="58" t="s">
        <v>94</v>
      </c>
      <c r="D47" s="108" t="s">
        <v>93</v>
      </c>
      <c r="E47" s="83">
        <v>30</v>
      </c>
      <c r="F47" s="109">
        <v>5500</v>
      </c>
      <c r="G47" s="109">
        <v>5500</v>
      </c>
      <c r="H47" s="61">
        <f t="shared" si="1"/>
        <v>660</v>
      </c>
      <c r="I47" s="21">
        <f t="shared" si="2"/>
        <v>660</v>
      </c>
    </row>
    <row r="48" spans="1:9" s="42" customFormat="1" ht="15.75" x14ac:dyDescent="0.25">
      <c r="A48" s="45">
        <v>487</v>
      </c>
      <c r="B48" s="57">
        <v>100358418267</v>
      </c>
      <c r="C48" s="58" t="s">
        <v>96</v>
      </c>
      <c r="D48" s="108" t="s">
        <v>95</v>
      </c>
      <c r="E48" s="83">
        <v>30</v>
      </c>
      <c r="F48" s="109">
        <v>3475</v>
      </c>
      <c r="G48" s="109">
        <v>3475</v>
      </c>
      <c r="H48" s="61">
        <f t="shared" si="1"/>
        <v>417</v>
      </c>
      <c r="I48" s="21">
        <f t="shared" si="2"/>
        <v>417</v>
      </c>
    </row>
    <row r="49" spans="1:9" s="19" customFormat="1" ht="15.75" x14ac:dyDescent="0.25">
      <c r="A49" s="45">
        <v>491</v>
      </c>
      <c r="B49" s="57">
        <v>100353509071</v>
      </c>
      <c r="C49" s="58" t="s">
        <v>97</v>
      </c>
      <c r="D49" s="58" t="s">
        <v>97</v>
      </c>
      <c r="E49" s="83">
        <v>30</v>
      </c>
      <c r="F49" s="110">
        <v>3195</v>
      </c>
      <c r="G49" s="110">
        <v>3195</v>
      </c>
      <c r="H49" s="61">
        <f t="shared" si="1"/>
        <v>383.4</v>
      </c>
      <c r="I49" s="21">
        <f t="shared" si="2"/>
        <v>383.4</v>
      </c>
    </row>
    <row r="50" spans="1:9" s="19" customFormat="1" ht="15.75" x14ac:dyDescent="0.25">
      <c r="A50" s="45">
        <v>492</v>
      </c>
      <c r="B50" s="57">
        <v>100353508759</v>
      </c>
      <c r="C50" s="58" t="s">
        <v>98</v>
      </c>
      <c r="D50" s="58" t="s">
        <v>98</v>
      </c>
      <c r="E50" s="83">
        <v>30</v>
      </c>
      <c r="F50" s="110">
        <v>3195</v>
      </c>
      <c r="G50" s="110">
        <v>3195</v>
      </c>
      <c r="H50" s="61">
        <f t="shared" si="1"/>
        <v>383.4</v>
      </c>
      <c r="I50" s="21">
        <f t="shared" si="2"/>
        <v>383.4</v>
      </c>
    </row>
    <row r="51" spans="1:9" s="19" customFormat="1" ht="15.75" x14ac:dyDescent="0.25">
      <c r="A51" s="45">
        <v>493</v>
      </c>
      <c r="B51" s="57">
        <v>100353509419</v>
      </c>
      <c r="C51" s="58" t="s">
        <v>99</v>
      </c>
      <c r="D51" s="58" t="s">
        <v>99</v>
      </c>
      <c r="E51" s="83">
        <v>30</v>
      </c>
      <c r="F51" s="110">
        <v>3195</v>
      </c>
      <c r="G51" s="110">
        <v>3195</v>
      </c>
      <c r="H51" s="61">
        <f t="shared" si="1"/>
        <v>383.4</v>
      </c>
      <c r="I51" s="21">
        <f t="shared" si="2"/>
        <v>383.4</v>
      </c>
    </row>
    <row r="52" spans="1:9" s="19" customFormat="1" ht="15.75" x14ac:dyDescent="0.25">
      <c r="A52" s="45">
        <v>496</v>
      </c>
      <c r="B52" s="57">
        <v>100353505607</v>
      </c>
      <c r="C52" s="58" t="s">
        <v>100</v>
      </c>
      <c r="D52" s="58" t="s">
        <v>100</v>
      </c>
      <c r="E52" s="83">
        <v>30</v>
      </c>
      <c r="F52" s="110">
        <v>2000</v>
      </c>
      <c r="G52" s="110">
        <v>2000</v>
      </c>
      <c r="H52" s="61">
        <f t="shared" si="1"/>
        <v>240</v>
      </c>
      <c r="I52" s="21">
        <f>G52*12/100</f>
        <v>240</v>
      </c>
    </row>
    <row r="53" spans="1:9" s="19" customFormat="1" ht="15.75" x14ac:dyDescent="0.25">
      <c r="A53" s="45">
        <v>498</v>
      </c>
      <c r="B53" s="57">
        <v>100353509092</v>
      </c>
      <c r="C53" s="58" t="s">
        <v>101</v>
      </c>
      <c r="D53" s="58" t="s">
        <v>101</v>
      </c>
      <c r="E53" s="83">
        <v>30</v>
      </c>
      <c r="F53" s="110">
        <v>3195</v>
      </c>
      <c r="G53" s="110">
        <v>3195</v>
      </c>
      <c r="H53" s="61">
        <f t="shared" si="1"/>
        <v>383.4</v>
      </c>
      <c r="I53" s="21">
        <f>G53*12/100</f>
        <v>383.4</v>
      </c>
    </row>
    <row r="54" spans="1:9" s="19" customFormat="1" ht="15.75" x14ac:dyDescent="0.25">
      <c r="A54" s="45">
        <v>528</v>
      </c>
      <c r="B54" s="57">
        <v>100353982087</v>
      </c>
      <c r="C54" s="58" t="s">
        <v>102</v>
      </c>
      <c r="D54" s="111" t="s">
        <v>103</v>
      </c>
      <c r="E54" s="83">
        <v>30</v>
      </c>
      <c r="F54" s="110">
        <v>2500</v>
      </c>
      <c r="G54" s="110">
        <v>2500</v>
      </c>
      <c r="H54" s="61">
        <f t="shared" si="1"/>
        <v>300</v>
      </c>
      <c r="I54" s="21"/>
    </row>
    <row r="55" spans="1:9" s="19" customFormat="1" ht="15.75" x14ac:dyDescent="0.25">
      <c r="A55" s="45">
        <v>564</v>
      </c>
      <c r="B55" s="57">
        <v>100358576652</v>
      </c>
      <c r="C55" s="58" t="s">
        <v>104</v>
      </c>
      <c r="D55" s="86" t="s">
        <v>105</v>
      </c>
      <c r="E55" s="83">
        <v>30</v>
      </c>
      <c r="F55" s="112">
        <v>5500</v>
      </c>
      <c r="G55" s="112">
        <v>5500</v>
      </c>
      <c r="H55" s="61">
        <f t="shared" si="1"/>
        <v>660</v>
      </c>
      <c r="I55" s="21" t="e">
        <f>#REF!*12/100</f>
        <v>#REF!</v>
      </c>
    </row>
    <row r="56" spans="1:9" ht="29.25" customHeight="1" x14ac:dyDescent="0.25">
      <c r="A56" s="24"/>
      <c r="B56" s="25"/>
      <c r="C56" s="9"/>
      <c r="D56" s="31"/>
      <c r="E56" s="9"/>
      <c r="F56" s="56">
        <f>SUM(F3:F55)</f>
        <v>222942</v>
      </c>
      <c r="G56" s="56">
        <f>SUM(G3:G55)</f>
        <v>222942</v>
      </c>
      <c r="H56" s="56">
        <f>SUM(H3:H55)</f>
        <v>26753.040000000008</v>
      </c>
      <c r="I56" s="23"/>
    </row>
    <row r="57" spans="1:9" ht="17.25" x14ac:dyDescent="0.25">
      <c r="A57" s="24"/>
      <c r="B57" s="25"/>
      <c r="C57" s="26"/>
      <c r="D57" s="26"/>
      <c r="E57" s="27"/>
      <c r="F57" s="28"/>
      <c r="G57" s="29"/>
      <c r="H57" s="29"/>
      <c r="I57" s="23"/>
    </row>
    <row r="59" spans="1:9" x14ac:dyDescent="0.25">
      <c r="H59" s="36"/>
      <c r="I59" s="37"/>
    </row>
    <row r="60" spans="1:9" x14ac:dyDescent="0.25">
      <c r="A60" s="44"/>
      <c r="B60" s="16"/>
      <c r="C60" s="17"/>
      <c r="D60" s="53"/>
      <c r="E60" s="47"/>
    </row>
    <row r="61" spans="1:9" x14ac:dyDescent="0.25">
      <c r="I61" s="38"/>
    </row>
    <row r="63" spans="1:9" x14ac:dyDescent="0.25">
      <c r="F63" s="39"/>
      <c r="G63" s="39"/>
      <c r="I63" s="38"/>
    </row>
    <row r="65" spans="1:14" x14ac:dyDescent="0.25">
      <c r="F65" s="39"/>
    </row>
    <row r="66" spans="1:14" x14ac:dyDescent="0.25">
      <c r="F66" s="39"/>
    </row>
    <row r="67" spans="1:14" x14ac:dyDescent="0.25">
      <c r="G67" s="39"/>
    </row>
    <row r="68" spans="1:14" x14ac:dyDescent="0.25">
      <c r="F68" s="40"/>
      <c r="G68" s="40"/>
      <c r="I68" s="23"/>
    </row>
    <row r="69" spans="1:14" x14ac:dyDescent="0.25">
      <c r="F69" s="40"/>
      <c r="G69" s="41"/>
    </row>
    <row r="70" spans="1:14" x14ac:dyDescent="0.25">
      <c r="F70" s="40"/>
      <c r="G70" s="40"/>
      <c r="I70" s="23"/>
    </row>
    <row r="71" spans="1:14" ht="25.5" x14ac:dyDescent="0.25">
      <c r="A71" s="18" t="s">
        <v>106</v>
      </c>
      <c r="B71" s="20">
        <v>19250</v>
      </c>
      <c r="C71" s="20">
        <v>13960</v>
      </c>
      <c r="D71" s="20">
        <v>1800</v>
      </c>
      <c r="E71" s="30"/>
      <c r="F71" s="31"/>
      <c r="G71" s="31"/>
      <c r="H71" s="31"/>
      <c r="I71" s="32"/>
      <c r="J71" s="33"/>
      <c r="K71" s="40"/>
      <c r="L71" s="40"/>
      <c r="M71" s="35"/>
      <c r="N71" s="22"/>
    </row>
    <row r="73" spans="1:14" x14ac:dyDescent="0.25">
      <c r="E73" s="33">
        <v>42983</v>
      </c>
      <c r="F73" s="34">
        <v>17783</v>
      </c>
      <c r="G73" s="34">
        <f>E73-F73</f>
        <v>25200</v>
      </c>
    </row>
    <row r="74" spans="1:14" x14ac:dyDescent="0.25">
      <c r="G74" s="34">
        <v>18114</v>
      </c>
    </row>
    <row r="75" spans="1:14" x14ac:dyDescent="0.25">
      <c r="G75" s="34">
        <f>SUM(G73:G74)</f>
        <v>43314</v>
      </c>
      <c r="H75" s="35">
        <v>42728</v>
      </c>
      <c r="I75" s="22">
        <f>G75-H75</f>
        <v>586</v>
      </c>
    </row>
    <row r="79" spans="1:14" s="30" customFormat="1" x14ac:dyDescent="0.25">
      <c r="B79" s="31"/>
      <c r="C79" s="31"/>
      <c r="D79" s="32"/>
      <c r="E79" s="33"/>
      <c r="F79" s="34"/>
      <c r="G79" s="34"/>
      <c r="H79" s="35"/>
      <c r="I79" s="22"/>
    </row>
    <row r="110" spans="2:9" s="30" customFormat="1" x14ac:dyDescent="0.25">
      <c r="B110" s="31"/>
      <c r="C110" s="31"/>
      <c r="D110" s="32"/>
      <c r="E110" s="33"/>
      <c r="F110" s="34"/>
      <c r="G110" s="34"/>
      <c r="H110" s="35"/>
      <c r="I110" s="22"/>
    </row>
    <row r="165" spans="2:9" s="30" customFormat="1" x14ac:dyDescent="0.25">
      <c r="B165" s="31"/>
      <c r="C165" s="31"/>
      <c r="D165" s="32"/>
      <c r="E165" s="33"/>
      <c r="F165" s="34"/>
      <c r="G165" s="34"/>
      <c r="H165" s="35"/>
      <c r="I165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66"/>
  <sheetViews>
    <sheetView topLeftCell="A2" zoomScale="115" zoomScaleNormal="115" workbookViewId="0">
      <selection activeCell="C57" sqref="C57"/>
    </sheetView>
  </sheetViews>
  <sheetFormatPr defaultRowHeight="18.75" x14ac:dyDescent="0.25"/>
  <cols>
    <col min="1" max="1" width="9.140625" style="30"/>
    <col min="2" max="2" width="19.8554687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5703125" style="35" bestFit="1" customWidth="1"/>
    <col min="9" max="9" width="9.140625" style="22"/>
    <col min="10" max="16384" width="9.140625" style="9"/>
  </cols>
  <sheetData>
    <row r="1" spans="1:9" x14ac:dyDescent="0.25">
      <c r="A1" s="1">
        <v>39753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>G3*12/100</f>
        <v>660</v>
      </c>
      <c r="I3" s="21">
        <f t="shared" ref="I3:I20" si="0">G3*12/100</f>
        <v>660</v>
      </c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5500</v>
      </c>
      <c r="G4" s="61">
        <v>5500</v>
      </c>
      <c r="H4" s="61">
        <f t="shared" ref="H4:H56" si="1">G4*12/100</f>
        <v>660</v>
      </c>
      <c r="I4" s="21">
        <f t="shared" si="0"/>
        <v>660</v>
      </c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2500</v>
      </c>
      <c r="G5" s="62">
        <v>2500</v>
      </c>
      <c r="H5" s="61">
        <f t="shared" si="1"/>
        <v>300</v>
      </c>
      <c r="I5" s="21">
        <f t="shared" si="0"/>
        <v>300</v>
      </c>
    </row>
    <row r="6" spans="1:9" s="19" customFormat="1" ht="15.75" x14ac:dyDescent="0.25">
      <c r="A6" s="45">
        <v>38</v>
      </c>
      <c r="B6" s="57">
        <v>100217136235</v>
      </c>
      <c r="C6" s="58" t="s">
        <v>13</v>
      </c>
      <c r="D6" s="63" t="s">
        <v>14</v>
      </c>
      <c r="E6" s="59">
        <v>30</v>
      </c>
      <c r="F6" s="62">
        <v>2500</v>
      </c>
      <c r="G6" s="62">
        <v>2500</v>
      </c>
      <c r="H6" s="61">
        <f t="shared" si="1"/>
        <v>300</v>
      </c>
      <c r="I6" s="21"/>
    </row>
    <row r="7" spans="1:9" s="19" customFormat="1" ht="25.5" x14ac:dyDescent="0.25">
      <c r="A7" s="45">
        <v>50</v>
      </c>
      <c r="B7" s="57">
        <v>100253724762</v>
      </c>
      <c r="C7" s="58" t="s">
        <v>15</v>
      </c>
      <c r="D7" s="64" t="s">
        <v>16</v>
      </c>
      <c r="E7" s="65">
        <v>30</v>
      </c>
      <c r="F7" s="64">
        <v>5500</v>
      </c>
      <c r="G7" s="64">
        <v>5500</v>
      </c>
      <c r="H7" s="61">
        <f t="shared" si="1"/>
        <v>660</v>
      </c>
      <c r="I7" s="21">
        <f t="shared" si="0"/>
        <v>660</v>
      </c>
    </row>
    <row r="8" spans="1:9" s="19" customFormat="1" ht="15.75" x14ac:dyDescent="0.25">
      <c r="A8" s="45">
        <v>82</v>
      </c>
      <c r="B8" s="57">
        <v>100337411384</v>
      </c>
      <c r="C8" s="58" t="s">
        <v>18</v>
      </c>
      <c r="D8" s="67" t="s">
        <v>18</v>
      </c>
      <c r="E8" s="65">
        <v>29</v>
      </c>
      <c r="F8" s="64">
        <v>3195</v>
      </c>
      <c r="G8" s="64">
        <v>3195</v>
      </c>
      <c r="H8" s="61">
        <f t="shared" si="1"/>
        <v>383.4</v>
      </c>
      <c r="I8" s="21">
        <f t="shared" si="0"/>
        <v>383.4</v>
      </c>
    </row>
    <row r="9" spans="1:9" s="19" customFormat="1" ht="15.75" x14ac:dyDescent="0.25">
      <c r="A9" s="45">
        <v>96</v>
      </c>
      <c r="B9" s="57">
        <v>100071591724</v>
      </c>
      <c r="C9" s="58" t="s">
        <v>21</v>
      </c>
      <c r="D9" s="65" t="s">
        <v>21</v>
      </c>
      <c r="E9" s="65">
        <v>30</v>
      </c>
      <c r="F9" s="64">
        <v>5500</v>
      </c>
      <c r="G9" s="64">
        <v>5500</v>
      </c>
      <c r="H9" s="61">
        <f t="shared" si="1"/>
        <v>660</v>
      </c>
      <c r="I9" s="21">
        <f t="shared" si="0"/>
        <v>660</v>
      </c>
    </row>
    <row r="10" spans="1:9" s="19" customFormat="1" ht="15.75" x14ac:dyDescent="0.25">
      <c r="A10" s="45">
        <v>112</v>
      </c>
      <c r="B10" s="57">
        <v>100353622159</v>
      </c>
      <c r="C10" s="58" t="s">
        <v>24</v>
      </c>
      <c r="D10" s="65" t="s">
        <v>25</v>
      </c>
      <c r="E10" s="48">
        <v>30</v>
      </c>
      <c r="F10" s="48">
        <v>5500</v>
      </c>
      <c r="G10" s="48">
        <v>5500</v>
      </c>
      <c r="H10" s="61">
        <f t="shared" si="1"/>
        <v>660</v>
      </c>
      <c r="I10" s="21">
        <f t="shared" si="0"/>
        <v>660</v>
      </c>
    </row>
    <row r="11" spans="1:9" s="19" customFormat="1" ht="15.75" x14ac:dyDescent="0.25">
      <c r="A11" s="45">
        <v>126</v>
      </c>
      <c r="B11" s="57">
        <v>100358535750</v>
      </c>
      <c r="C11" s="58" t="s">
        <v>26</v>
      </c>
      <c r="D11" s="51" t="s">
        <v>27</v>
      </c>
      <c r="E11" s="69">
        <v>30</v>
      </c>
      <c r="F11" s="69">
        <v>5500</v>
      </c>
      <c r="G11" s="69">
        <v>5500</v>
      </c>
      <c r="H11" s="61">
        <f t="shared" si="1"/>
        <v>660</v>
      </c>
      <c r="I11" s="21">
        <f t="shared" si="0"/>
        <v>660</v>
      </c>
    </row>
    <row r="12" spans="1:9" s="19" customFormat="1" ht="15.75" x14ac:dyDescent="0.25">
      <c r="A12" s="45">
        <v>134</v>
      </c>
      <c r="B12" s="57">
        <v>100084707366</v>
      </c>
      <c r="C12" s="58" t="s">
        <v>28</v>
      </c>
      <c r="D12" s="71" t="s">
        <v>28</v>
      </c>
      <c r="E12" s="48">
        <v>30</v>
      </c>
      <c r="F12" s="71">
        <v>3620</v>
      </c>
      <c r="G12" s="71">
        <v>3620</v>
      </c>
      <c r="H12" s="61">
        <f t="shared" si="1"/>
        <v>434.4</v>
      </c>
      <c r="I12" s="21">
        <f t="shared" si="0"/>
        <v>434.4</v>
      </c>
    </row>
    <row r="13" spans="1:9" s="19" customFormat="1" ht="15.75" x14ac:dyDescent="0.25">
      <c r="A13" s="45">
        <v>136</v>
      </c>
      <c r="B13" s="57">
        <v>100167059875</v>
      </c>
      <c r="C13" s="58" t="s">
        <v>29</v>
      </c>
      <c r="D13" s="65" t="s">
        <v>30</v>
      </c>
      <c r="E13" s="48">
        <v>30</v>
      </c>
      <c r="F13" s="49">
        <v>5500</v>
      </c>
      <c r="G13" s="49">
        <v>5500</v>
      </c>
      <c r="H13" s="61">
        <f t="shared" si="1"/>
        <v>660</v>
      </c>
      <c r="I13" s="21">
        <f t="shared" si="0"/>
        <v>660</v>
      </c>
    </row>
    <row r="14" spans="1:9" s="19" customFormat="1" ht="15.75" x14ac:dyDescent="0.25">
      <c r="A14" s="45">
        <v>149</v>
      </c>
      <c r="B14" s="57">
        <v>100333985226</v>
      </c>
      <c r="C14" s="58" t="s">
        <v>31</v>
      </c>
      <c r="D14" s="51" t="s">
        <v>32</v>
      </c>
      <c r="E14" s="72">
        <v>30</v>
      </c>
      <c r="F14" s="72">
        <v>1866</v>
      </c>
      <c r="G14" s="72">
        <v>1866</v>
      </c>
      <c r="H14" s="61">
        <f t="shared" si="1"/>
        <v>223.92</v>
      </c>
      <c r="I14" s="21">
        <f t="shared" si="0"/>
        <v>223.92</v>
      </c>
    </row>
    <row r="15" spans="1:9" s="19" customFormat="1" ht="15.75" x14ac:dyDescent="0.25">
      <c r="A15" s="45">
        <v>169</v>
      </c>
      <c r="B15" s="57">
        <v>100112097052</v>
      </c>
      <c r="C15" s="58" t="s">
        <v>116</v>
      </c>
      <c r="D15" s="73" t="s">
        <v>117</v>
      </c>
      <c r="E15" s="60">
        <v>30</v>
      </c>
      <c r="F15" s="74">
        <v>5500</v>
      </c>
      <c r="G15" s="74">
        <v>5500</v>
      </c>
      <c r="H15" s="61">
        <f t="shared" si="1"/>
        <v>660</v>
      </c>
      <c r="I15" s="21"/>
    </row>
    <row r="16" spans="1:9" s="19" customFormat="1" ht="15.75" x14ac:dyDescent="0.25">
      <c r="A16" s="45">
        <v>186</v>
      </c>
      <c r="B16" s="57">
        <v>100353962659</v>
      </c>
      <c r="C16" s="58" t="s">
        <v>118</v>
      </c>
      <c r="D16" s="51" t="s">
        <v>119</v>
      </c>
      <c r="E16" s="72">
        <v>30</v>
      </c>
      <c r="F16" s="72">
        <v>1000</v>
      </c>
      <c r="G16" s="72">
        <v>1000</v>
      </c>
      <c r="H16" s="61">
        <f t="shared" si="1"/>
        <v>120</v>
      </c>
      <c r="I16" s="21"/>
    </row>
    <row r="17" spans="1:256" s="19" customFormat="1" ht="15.75" x14ac:dyDescent="0.25">
      <c r="A17" s="45">
        <v>191</v>
      </c>
      <c r="B17" s="57">
        <v>100094359606</v>
      </c>
      <c r="C17" s="58" t="s">
        <v>33</v>
      </c>
      <c r="D17" s="75" t="s">
        <v>33</v>
      </c>
      <c r="E17" s="75">
        <v>30</v>
      </c>
      <c r="F17" s="75">
        <v>2500</v>
      </c>
      <c r="G17" s="75">
        <v>2500</v>
      </c>
      <c r="H17" s="61">
        <f t="shared" si="1"/>
        <v>300</v>
      </c>
      <c r="I17" s="21">
        <f t="shared" si="0"/>
        <v>300</v>
      </c>
    </row>
    <row r="18" spans="1:256" s="19" customFormat="1" ht="15.75" x14ac:dyDescent="0.25">
      <c r="A18" s="45">
        <v>195</v>
      </c>
      <c r="B18" s="57">
        <v>100235466823</v>
      </c>
      <c r="C18" s="58" t="s">
        <v>34</v>
      </c>
      <c r="D18" s="75" t="s">
        <v>35</v>
      </c>
      <c r="E18" s="75">
        <v>30</v>
      </c>
      <c r="F18" s="75">
        <v>5500</v>
      </c>
      <c r="G18" s="75">
        <v>5500</v>
      </c>
      <c r="H18" s="61">
        <f t="shared" si="1"/>
        <v>660</v>
      </c>
      <c r="I18" s="21">
        <f t="shared" si="0"/>
        <v>660</v>
      </c>
    </row>
    <row r="19" spans="1:256" s="19" customFormat="1" ht="16.5" customHeight="1" x14ac:dyDescent="0.25">
      <c r="A19" s="45">
        <v>199</v>
      </c>
      <c r="B19" s="57">
        <v>100232183759</v>
      </c>
      <c r="C19" s="58" t="s">
        <v>36</v>
      </c>
      <c r="D19" s="76" t="s">
        <v>36</v>
      </c>
      <c r="E19" s="45">
        <v>30</v>
      </c>
      <c r="F19" s="57">
        <v>3000</v>
      </c>
      <c r="G19" s="57">
        <v>3000</v>
      </c>
      <c r="H19" s="61">
        <f t="shared" si="1"/>
        <v>360</v>
      </c>
      <c r="I19" s="44"/>
      <c r="J19" s="16"/>
      <c r="K19" s="17"/>
      <c r="L19" s="52"/>
      <c r="M19" s="44"/>
      <c r="N19" s="16"/>
      <c r="O19" s="17"/>
      <c r="P19" s="52"/>
      <c r="Q19" s="44"/>
      <c r="R19" s="16"/>
      <c r="S19" s="17"/>
      <c r="T19" s="52"/>
      <c r="U19" s="44"/>
      <c r="V19" s="16"/>
      <c r="W19" s="17"/>
      <c r="X19" s="52"/>
      <c r="Y19" s="44"/>
      <c r="Z19" s="16"/>
      <c r="AA19" s="17"/>
      <c r="AB19" s="52"/>
      <c r="AC19" s="44"/>
      <c r="AD19" s="16"/>
      <c r="AE19" s="17"/>
      <c r="AF19" s="52"/>
      <c r="AG19" s="44"/>
      <c r="AH19" s="16"/>
      <c r="AI19" s="17"/>
      <c r="AJ19" s="52"/>
      <c r="AK19" s="44"/>
      <c r="AL19" s="16"/>
      <c r="AM19" s="17"/>
      <c r="AN19" s="52"/>
      <c r="AO19" s="44"/>
      <c r="AP19" s="16"/>
      <c r="AQ19" s="17"/>
      <c r="AR19" s="52"/>
      <c r="AS19" s="44"/>
      <c r="AT19" s="16"/>
      <c r="AU19" s="17"/>
      <c r="AV19" s="52"/>
      <c r="AW19" s="44"/>
      <c r="AX19" s="16"/>
      <c r="AY19" s="17"/>
      <c r="AZ19" s="52"/>
      <c r="BA19" s="44"/>
      <c r="BB19" s="16"/>
      <c r="BC19" s="17"/>
      <c r="BD19" s="52"/>
      <c r="BE19" s="44"/>
      <c r="BF19" s="16"/>
      <c r="BG19" s="17"/>
      <c r="BH19" s="52"/>
      <c r="BI19" s="44"/>
      <c r="BJ19" s="16"/>
      <c r="BK19" s="17"/>
      <c r="BL19" s="52"/>
      <c r="BM19" s="44"/>
      <c r="BN19" s="16"/>
      <c r="BO19" s="17"/>
      <c r="BP19" s="52"/>
      <c r="BQ19" s="44"/>
      <c r="BR19" s="16"/>
      <c r="BS19" s="17"/>
      <c r="BT19" s="52"/>
      <c r="BU19" s="44"/>
      <c r="BV19" s="16"/>
      <c r="BW19" s="17"/>
      <c r="BX19" s="52"/>
      <c r="BY19" s="44"/>
      <c r="BZ19" s="16"/>
      <c r="CA19" s="17"/>
      <c r="CB19" s="52"/>
      <c r="CC19" s="44">
        <v>199</v>
      </c>
      <c r="CD19" s="16">
        <v>100232183759</v>
      </c>
      <c r="CE19" s="17" t="s">
        <v>36</v>
      </c>
      <c r="CF19" s="52" t="s">
        <v>36</v>
      </c>
      <c r="CG19" s="44">
        <v>199</v>
      </c>
      <c r="CH19" s="16">
        <v>100232183759</v>
      </c>
      <c r="CI19" s="17" t="s">
        <v>36</v>
      </c>
      <c r="CJ19" s="52" t="s">
        <v>36</v>
      </c>
      <c r="CK19" s="44">
        <v>199</v>
      </c>
      <c r="CL19" s="16">
        <v>100232183759</v>
      </c>
      <c r="CM19" s="17" t="s">
        <v>36</v>
      </c>
      <c r="CN19" s="52" t="s">
        <v>36</v>
      </c>
      <c r="CO19" s="44">
        <v>199</v>
      </c>
      <c r="CP19" s="16">
        <v>100232183759</v>
      </c>
      <c r="CQ19" s="17" t="s">
        <v>36</v>
      </c>
      <c r="CR19" s="52" t="s">
        <v>36</v>
      </c>
      <c r="CS19" s="44">
        <v>199</v>
      </c>
      <c r="CT19" s="16">
        <v>100232183759</v>
      </c>
      <c r="CU19" s="17" t="s">
        <v>36</v>
      </c>
      <c r="CV19" s="52" t="s">
        <v>36</v>
      </c>
      <c r="CW19" s="44">
        <v>199</v>
      </c>
      <c r="CX19" s="16">
        <v>100232183759</v>
      </c>
      <c r="CY19" s="17" t="s">
        <v>36</v>
      </c>
      <c r="CZ19" s="52" t="s">
        <v>36</v>
      </c>
      <c r="DA19" s="44">
        <v>199</v>
      </c>
      <c r="DB19" s="16">
        <v>100232183759</v>
      </c>
      <c r="DC19" s="17" t="s">
        <v>36</v>
      </c>
      <c r="DD19" s="52" t="s">
        <v>36</v>
      </c>
      <c r="DE19" s="44">
        <v>199</v>
      </c>
      <c r="DF19" s="16">
        <v>100232183759</v>
      </c>
      <c r="DG19" s="17" t="s">
        <v>36</v>
      </c>
      <c r="DH19" s="52" t="s">
        <v>36</v>
      </c>
      <c r="DI19" s="44">
        <v>199</v>
      </c>
      <c r="DJ19" s="16">
        <v>100232183759</v>
      </c>
      <c r="DK19" s="17" t="s">
        <v>36</v>
      </c>
      <c r="DL19" s="52" t="s">
        <v>36</v>
      </c>
      <c r="DM19" s="44">
        <v>199</v>
      </c>
      <c r="DN19" s="16">
        <v>100232183759</v>
      </c>
      <c r="DO19" s="17" t="s">
        <v>36</v>
      </c>
      <c r="DP19" s="52" t="s">
        <v>36</v>
      </c>
      <c r="DQ19" s="44">
        <v>199</v>
      </c>
      <c r="DR19" s="16">
        <v>100232183759</v>
      </c>
      <c r="DS19" s="17" t="s">
        <v>36</v>
      </c>
      <c r="DT19" s="52" t="s">
        <v>36</v>
      </c>
      <c r="DU19" s="44">
        <v>199</v>
      </c>
      <c r="DV19" s="16">
        <v>100232183759</v>
      </c>
      <c r="DW19" s="17" t="s">
        <v>36</v>
      </c>
      <c r="DX19" s="52" t="s">
        <v>36</v>
      </c>
      <c r="DY19" s="44">
        <v>199</v>
      </c>
      <c r="DZ19" s="16">
        <v>100232183759</v>
      </c>
      <c r="EA19" s="17" t="s">
        <v>36</v>
      </c>
      <c r="EB19" s="52" t="s">
        <v>36</v>
      </c>
      <c r="EC19" s="44">
        <v>199</v>
      </c>
      <c r="ED19" s="16">
        <v>100232183759</v>
      </c>
      <c r="EE19" s="17" t="s">
        <v>36</v>
      </c>
      <c r="EF19" s="52" t="s">
        <v>36</v>
      </c>
      <c r="EG19" s="44">
        <v>199</v>
      </c>
      <c r="EH19" s="16">
        <v>100232183759</v>
      </c>
      <c r="EI19" s="17" t="s">
        <v>36</v>
      </c>
      <c r="EJ19" s="52" t="s">
        <v>36</v>
      </c>
      <c r="EK19" s="44">
        <v>199</v>
      </c>
      <c r="EL19" s="16">
        <v>100232183759</v>
      </c>
      <c r="EM19" s="17" t="s">
        <v>36</v>
      </c>
      <c r="EN19" s="52" t="s">
        <v>36</v>
      </c>
      <c r="EO19" s="44">
        <v>199</v>
      </c>
      <c r="EP19" s="16">
        <v>100232183759</v>
      </c>
      <c r="EQ19" s="17" t="s">
        <v>36</v>
      </c>
      <c r="ER19" s="52" t="s">
        <v>36</v>
      </c>
      <c r="ES19" s="44">
        <v>199</v>
      </c>
      <c r="ET19" s="16">
        <v>100232183759</v>
      </c>
      <c r="EU19" s="17" t="s">
        <v>36</v>
      </c>
      <c r="EV19" s="52" t="s">
        <v>36</v>
      </c>
      <c r="EW19" s="44">
        <v>199</v>
      </c>
      <c r="EX19" s="16">
        <v>100232183759</v>
      </c>
      <c r="EY19" s="17" t="s">
        <v>36</v>
      </c>
      <c r="EZ19" s="52" t="s">
        <v>36</v>
      </c>
      <c r="FA19" s="44">
        <v>199</v>
      </c>
      <c r="FB19" s="16">
        <v>100232183759</v>
      </c>
      <c r="FC19" s="17" t="s">
        <v>36</v>
      </c>
      <c r="FD19" s="52" t="s">
        <v>36</v>
      </c>
      <c r="FE19" s="44">
        <v>199</v>
      </c>
      <c r="FF19" s="16">
        <v>100232183759</v>
      </c>
      <c r="FG19" s="17" t="s">
        <v>36</v>
      </c>
      <c r="FH19" s="52" t="s">
        <v>36</v>
      </c>
      <c r="FI19" s="44">
        <v>199</v>
      </c>
      <c r="FJ19" s="16">
        <v>100232183759</v>
      </c>
      <c r="FK19" s="17" t="s">
        <v>36</v>
      </c>
      <c r="FL19" s="52" t="s">
        <v>36</v>
      </c>
      <c r="FM19" s="44">
        <v>199</v>
      </c>
      <c r="FN19" s="16">
        <v>100232183759</v>
      </c>
      <c r="FO19" s="17" t="s">
        <v>36</v>
      </c>
      <c r="FP19" s="52" t="s">
        <v>36</v>
      </c>
      <c r="FQ19" s="44">
        <v>199</v>
      </c>
      <c r="FR19" s="16">
        <v>100232183759</v>
      </c>
      <c r="FS19" s="17" t="s">
        <v>36</v>
      </c>
      <c r="FT19" s="52" t="s">
        <v>36</v>
      </c>
      <c r="FU19" s="44">
        <v>199</v>
      </c>
      <c r="FV19" s="16">
        <v>100232183759</v>
      </c>
      <c r="FW19" s="17" t="s">
        <v>36</v>
      </c>
      <c r="FX19" s="52" t="s">
        <v>36</v>
      </c>
      <c r="FY19" s="44">
        <v>199</v>
      </c>
      <c r="FZ19" s="16">
        <v>100232183759</v>
      </c>
      <c r="GA19" s="17" t="s">
        <v>36</v>
      </c>
      <c r="GB19" s="52" t="s">
        <v>36</v>
      </c>
      <c r="GC19" s="44">
        <v>199</v>
      </c>
      <c r="GD19" s="16">
        <v>100232183759</v>
      </c>
      <c r="GE19" s="17" t="s">
        <v>36</v>
      </c>
      <c r="GF19" s="52" t="s">
        <v>36</v>
      </c>
      <c r="GG19" s="44">
        <v>199</v>
      </c>
      <c r="GH19" s="16">
        <v>100232183759</v>
      </c>
      <c r="GI19" s="17" t="s">
        <v>36</v>
      </c>
      <c r="GJ19" s="52" t="s">
        <v>36</v>
      </c>
      <c r="GK19" s="44">
        <v>199</v>
      </c>
      <c r="GL19" s="16">
        <v>100232183759</v>
      </c>
      <c r="GM19" s="17" t="s">
        <v>36</v>
      </c>
      <c r="GN19" s="52" t="s">
        <v>36</v>
      </c>
      <c r="GO19" s="44">
        <v>199</v>
      </c>
      <c r="GP19" s="16">
        <v>100232183759</v>
      </c>
      <c r="GQ19" s="17" t="s">
        <v>36</v>
      </c>
      <c r="GR19" s="52" t="s">
        <v>36</v>
      </c>
      <c r="GS19" s="44">
        <v>199</v>
      </c>
      <c r="GT19" s="16">
        <v>100232183759</v>
      </c>
      <c r="GU19" s="17" t="s">
        <v>36</v>
      </c>
      <c r="GV19" s="52" t="s">
        <v>36</v>
      </c>
      <c r="GW19" s="44">
        <v>199</v>
      </c>
      <c r="GX19" s="16">
        <v>100232183759</v>
      </c>
      <c r="GY19" s="17" t="s">
        <v>36</v>
      </c>
      <c r="GZ19" s="52" t="s">
        <v>36</v>
      </c>
      <c r="HA19" s="44">
        <v>199</v>
      </c>
      <c r="HB19" s="16">
        <v>100232183759</v>
      </c>
      <c r="HC19" s="17" t="s">
        <v>36</v>
      </c>
      <c r="HD19" s="52" t="s">
        <v>36</v>
      </c>
      <c r="HE19" s="44">
        <v>199</v>
      </c>
      <c r="HF19" s="16">
        <v>100232183759</v>
      </c>
      <c r="HG19" s="17" t="s">
        <v>36</v>
      </c>
      <c r="HH19" s="52" t="s">
        <v>36</v>
      </c>
      <c r="HI19" s="44">
        <v>199</v>
      </c>
      <c r="HJ19" s="16">
        <v>100232183759</v>
      </c>
      <c r="HK19" s="17" t="s">
        <v>36</v>
      </c>
      <c r="HL19" s="52" t="s">
        <v>36</v>
      </c>
      <c r="HM19" s="44">
        <v>199</v>
      </c>
      <c r="HN19" s="16">
        <v>100232183759</v>
      </c>
      <c r="HO19" s="17" t="s">
        <v>36</v>
      </c>
      <c r="HP19" s="52" t="s">
        <v>36</v>
      </c>
      <c r="HQ19" s="44">
        <v>199</v>
      </c>
      <c r="HR19" s="16">
        <v>100232183759</v>
      </c>
      <c r="HS19" s="17" t="s">
        <v>36</v>
      </c>
      <c r="HT19" s="52" t="s">
        <v>36</v>
      </c>
      <c r="HU19" s="44">
        <v>199</v>
      </c>
      <c r="HV19" s="16">
        <v>100232183759</v>
      </c>
      <c r="HW19" s="17" t="s">
        <v>36</v>
      </c>
      <c r="HX19" s="52" t="s">
        <v>36</v>
      </c>
      <c r="HY19" s="44">
        <v>199</v>
      </c>
      <c r="HZ19" s="16">
        <v>100232183759</v>
      </c>
      <c r="IA19" s="17" t="s">
        <v>36</v>
      </c>
      <c r="IB19" s="52" t="s">
        <v>36</v>
      </c>
      <c r="IC19" s="44">
        <v>199</v>
      </c>
      <c r="ID19" s="16">
        <v>100232183759</v>
      </c>
      <c r="IE19" s="17" t="s">
        <v>36</v>
      </c>
      <c r="IF19" s="52" t="s">
        <v>36</v>
      </c>
      <c r="IG19" s="44">
        <v>199</v>
      </c>
      <c r="IH19" s="16">
        <v>100232183759</v>
      </c>
      <c r="II19" s="17" t="s">
        <v>36</v>
      </c>
      <c r="IJ19" s="52" t="s">
        <v>36</v>
      </c>
      <c r="IK19" s="44">
        <v>199</v>
      </c>
      <c r="IL19" s="16">
        <v>100232183759</v>
      </c>
      <c r="IM19" s="17" t="s">
        <v>36</v>
      </c>
      <c r="IN19" s="52" t="s">
        <v>36</v>
      </c>
      <c r="IO19" s="44">
        <v>199</v>
      </c>
      <c r="IP19" s="16">
        <v>100232183759</v>
      </c>
      <c r="IQ19" s="17" t="s">
        <v>36</v>
      </c>
      <c r="IR19" s="52" t="s">
        <v>36</v>
      </c>
      <c r="IS19" s="44">
        <v>199</v>
      </c>
      <c r="IT19" s="16">
        <v>100232183759</v>
      </c>
      <c r="IU19" s="17" t="s">
        <v>36</v>
      </c>
      <c r="IV19" s="52" t="s">
        <v>36</v>
      </c>
    </row>
    <row r="20" spans="1:256" s="19" customFormat="1" ht="30" x14ac:dyDescent="0.25">
      <c r="A20" s="45">
        <v>204</v>
      </c>
      <c r="B20" s="57">
        <v>100232169483</v>
      </c>
      <c r="C20" s="58" t="s">
        <v>37</v>
      </c>
      <c r="D20" s="75" t="s">
        <v>38</v>
      </c>
      <c r="E20" s="50">
        <v>30</v>
      </c>
      <c r="F20" s="50">
        <v>5500</v>
      </c>
      <c r="G20" s="50">
        <v>5500</v>
      </c>
      <c r="H20" s="61">
        <f t="shared" si="1"/>
        <v>660</v>
      </c>
      <c r="I20" s="21">
        <f t="shared" si="0"/>
        <v>660</v>
      </c>
    </row>
    <row r="21" spans="1:256" s="19" customFormat="1" ht="15.75" x14ac:dyDescent="0.25">
      <c r="A21" s="45">
        <v>224</v>
      </c>
      <c r="B21" s="57">
        <v>100112371371</v>
      </c>
      <c r="C21" s="58" t="s">
        <v>39</v>
      </c>
      <c r="D21" s="77" t="s">
        <v>40</v>
      </c>
      <c r="E21" s="75">
        <v>30</v>
      </c>
      <c r="F21" s="77">
        <v>5500</v>
      </c>
      <c r="G21" s="77">
        <v>5500</v>
      </c>
      <c r="H21" s="61">
        <f t="shared" si="1"/>
        <v>660</v>
      </c>
      <c r="I21" s="21">
        <f>G21*12/100</f>
        <v>660</v>
      </c>
    </row>
    <row r="22" spans="1:256" s="19" customFormat="1" ht="15.75" x14ac:dyDescent="0.25">
      <c r="A22" s="45">
        <v>226</v>
      </c>
      <c r="B22" s="57">
        <v>100310052599</v>
      </c>
      <c r="C22" s="58" t="s">
        <v>41</v>
      </c>
      <c r="D22" s="78" t="s">
        <v>42</v>
      </c>
      <c r="E22" s="50">
        <v>30</v>
      </c>
      <c r="F22" s="77">
        <v>2500</v>
      </c>
      <c r="G22" s="77">
        <v>2500</v>
      </c>
      <c r="H22" s="61">
        <f t="shared" si="1"/>
        <v>300</v>
      </c>
      <c r="I22" s="21"/>
    </row>
    <row r="23" spans="1:256" s="19" customFormat="1" ht="15.75" x14ac:dyDescent="0.25">
      <c r="A23" s="45">
        <v>252</v>
      </c>
      <c r="B23" s="57">
        <v>100373345016</v>
      </c>
      <c r="C23" s="58" t="s">
        <v>43</v>
      </c>
      <c r="D23" s="79" t="s">
        <v>44</v>
      </c>
      <c r="E23" s="77">
        <v>30</v>
      </c>
      <c r="F23" s="80">
        <v>5500</v>
      </c>
      <c r="G23" s="80">
        <v>5500</v>
      </c>
      <c r="H23" s="61">
        <f t="shared" si="1"/>
        <v>660</v>
      </c>
      <c r="I23" s="21">
        <f>G23*12/100</f>
        <v>660</v>
      </c>
    </row>
    <row r="24" spans="1:256" s="19" customFormat="1" ht="15.75" x14ac:dyDescent="0.25">
      <c r="A24" s="45">
        <v>269</v>
      </c>
      <c r="B24" s="57">
        <v>100353847332</v>
      </c>
      <c r="C24" s="58" t="s">
        <v>46</v>
      </c>
      <c r="D24" s="83" t="s">
        <v>47</v>
      </c>
      <c r="E24" s="83">
        <v>30</v>
      </c>
      <c r="F24" s="84">
        <v>5500</v>
      </c>
      <c r="G24" s="84">
        <v>5500</v>
      </c>
      <c r="H24" s="61">
        <f t="shared" si="1"/>
        <v>660</v>
      </c>
      <c r="I24" s="21">
        <f t="shared" ref="I24:I52" si="2">G24*12/100</f>
        <v>660</v>
      </c>
    </row>
    <row r="25" spans="1:256" s="19" customFormat="1" ht="15.75" x14ac:dyDescent="0.25">
      <c r="A25" s="45">
        <v>309</v>
      </c>
      <c r="B25" s="57">
        <v>100353888563</v>
      </c>
      <c r="C25" s="58" t="s">
        <v>48</v>
      </c>
      <c r="D25" s="85" t="s">
        <v>48</v>
      </c>
      <c r="E25" s="83">
        <v>30</v>
      </c>
      <c r="F25" s="84">
        <v>5500</v>
      </c>
      <c r="G25" s="84">
        <v>5500</v>
      </c>
      <c r="H25" s="61">
        <f t="shared" si="1"/>
        <v>660</v>
      </c>
      <c r="I25" s="21"/>
    </row>
    <row r="26" spans="1:256" s="19" customFormat="1" ht="15.75" x14ac:dyDescent="0.25">
      <c r="A26" s="45">
        <v>324</v>
      </c>
      <c r="B26" s="57">
        <v>100366458827</v>
      </c>
      <c r="C26" s="58" t="s">
        <v>51</v>
      </c>
      <c r="D26" s="87" t="s">
        <v>52</v>
      </c>
      <c r="E26" s="88">
        <v>30</v>
      </c>
      <c r="F26" s="89">
        <v>5500</v>
      </c>
      <c r="G26" s="89">
        <v>5500</v>
      </c>
      <c r="H26" s="61">
        <f t="shared" si="1"/>
        <v>660</v>
      </c>
      <c r="I26" s="21">
        <f t="shared" si="2"/>
        <v>660</v>
      </c>
    </row>
    <row r="27" spans="1:256" s="19" customFormat="1" ht="26.25" x14ac:dyDescent="0.25">
      <c r="A27" s="45">
        <v>326</v>
      </c>
      <c r="B27" s="57">
        <v>100353855918</v>
      </c>
      <c r="C27" s="58" t="s">
        <v>53</v>
      </c>
      <c r="D27" s="90" t="s">
        <v>54</v>
      </c>
      <c r="E27" s="88">
        <v>30</v>
      </c>
      <c r="F27" s="89">
        <v>5500</v>
      </c>
      <c r="G27" s="89">
        <v>5500</v>
      </c>
      <c r="H27" s="61">
        <f t="shared" si="1"/>
        <v>660</v>
      </c>
      <c r="I27" s="21">
        <f t="shared" si="2"/>
        <v>660</v>
      </c>
    </row>
    <row r="28" spans="1:256" s="19" customFormat="1" ht="15.75" x14ac:dyDescent="0.25">
      <c r="A28" s="45">
        <v>335</v>
      </c>
      <c r="B28" s="57">
        <v>100353697416</v>
      </c>
      <c r="C28" s="58" t="s">
        <v>55</v>
      </c>
      <c r="D28" s="91" t="s">
        <v>56</v>
      </c>
      <c r="E28" s="88">
        <v>30</v>
      </c>
      <c r="F28" s="89">
        <v>1700</v>
      </c>
      <c r="G28" s="89">
        <v>1700</v>
      </c>
      <c r="H28" s="61">
        <f t="shared" si="1"/>
        <v>204</v>
      </c>
      <c r="I28" s="21"/>
    </row>
    <row r="29" spans="1:256" s="19" customFormat="1" ht="15.75" x14ac:dyDescent="0.25">
      <c r="A29" s="45">
        <v>337</v>
      </c>
      <c r="B29" s="57">
        <v>100353650100</v>
      </c>
      <c r="C29" s="58" t="s">
        <v>57</v>
      </c>
      <c r="D29" s="92" t="s">
        <v>58</v>
      </c>
      <c r="E29" s="88">
        <v>30</v>
      </c>
      <c r="F29" s="89">
        <v>5500</v>
      </c>
      <c r="G29" s="89">
        <v>5500</v>
      </c>
      <c r="H29" s="61">
        <f t="shared" si="1"/>
        <v>660</v>
      </c>
      <c r="I29" s="21">
        <f t="shared" si="2"/>
        <v>660</v>
      </c>
    </row>
    <row r="30" spans="1:256" s="19" customFormat="1" ht="15.75" x14ac:dyDescent="0.25">
      <c r="A30" s="45">
        <v>358</v>
      </c>
      <c r="B30" s="57">
        <v>100404638047</v>
      </c>
      <c r="C30" s="58" t="s">
        <v>61</v>
      </c>
      <c r="D30" s="94" t="s">
        <v>62</v>
      </c>
      <c r="E30" s="83">
        <v>30</v>
      </c>
      <c r="F30" s="89">
        <v>2500</v>
      </c>
      <c r="G30" s="89">
        <v>2500</v>
      </c>
      <c r="H30" s="61">
        <f t="shared" si="1"/>
        <v>300</v>
      </c>
      <c r="I30" s="21"/>
    </row>
    <row r="31" spans="1:256" s="19" customFormat="1" ht="15.75" x14ac:dyDescent="0.25">
      <c r="A31" s="45">
        <v>372</v>
      </c>
      <c r="B31" s="57">
        <v>100091836225</v>
      </c>
      <c r="C31" s="58" t="s">
        <v>63</v>
      </c>
      <c r="D31" s="95" t="s">
        <v>64</v>
      </c>
      <c r="E31" s="83">
        <v>30</v>
      </c>
      <c r="F31" s="96">
        <v>5500</v>
      </c>
      <c r="G31" s="96">
        <v>5500</v>
      </c>
      <c r="H31" s="61">
        <f t="shared" si="1"/>
        <v>660</v>
      </c>
      <c r="I31" s="21">
        <f t="shared" si="2"/>
        <v>660</v>
      </c>
    </row>
    <row r="32" spans="1:256" s="19" customFormat="1" ht="15.75" x14ac:dyDescent="0.25">
      <c r="A32" s="45">
        <v>378</v>
      </c>
      <c r="B32" s="57">
        <v>100283282515</v>
      </c>
      <c r="C32" s="58" t="s">
        <v>65</v>
      </c>
      <c r="D32" s="95" t="s">
        <v>65</v>
      </c>
      <c r="E32" s="83">
        <v>30</v>
      </c>
      <c r="F32" s="89">
        <v>5500</v>
      </c>
      <c r="G32" s="89">
        <v>5500</v>
      </c>
      <c r="H32" s="61">
        <f t="shared" si="1"/>
        <v>660</v>
      </c>
      <c r="I32" s="21">
        <f t="shared" si="2"/>
        <v>660</v>
      </c>
    </row>
    <row r="33" spans="1:9" s="19" customFormat="1" ht="15.75" x14ac:dyDescent="0.25">
      <c r="A33" s="45">
        <v>390</v>
      </c>
      <c r="B33" s="57">
        <v>100353938598</v>
      </c>
      <c r="C33" s="58" t="s">
        <v>66</v>
      </c>
      <c r="D33" s="92" t="s">
        <v>67</v>
      </c>
      <c r="E33" s="83">
        <v>30</v>
      </c>
      <c r="F33" s="88">
        <v>5500</v>
      </c>
      <c r="G33" s="88">
        <v>5500</v>
      </c>
      <c r="H33" s="61">
        <f t="shared" si="1"/>
        <v>660</v>
      </c>
      <c r="I33" s="21">
        <f t="shared" si="2"/>
        <v>660</v>
      </c>
    </row>
    <row r="34" spans="1:9" s="19" customFormat="1" ht="15.75" x14ac:dyDescent="0.25">
      <c r="A34" s="45">
        <v>391</v>
      </c>
      <c r="B34" s="57">
        <v>100353855034</v>
      </c>
      <c r="C34" s="58" t="s">
        <v>68</v>
      </c>
      <c r="D34" s="97" t="s">
        <v>69</v>
      </c>
      <c r="E34" s="83">
        <v>30</v>
      </c>
      <c r="F34" s="88">
        <v>3475</v>
      </c>
      <c r="G34" s="88">
        <v>3475</v>
      </c>
      <c r="H34" s="61">
        <f t="shared" si="1"/>
        <v>417</v>
      </c>
      <c r="I34" s="21"/>
    </row>
    <row r="35" spans="1:9" s="19" customFormat="1" ht="15.75" x14ac:dyDescent="0.25">
      <c r="A35" s="45">
        <v>400</v>
      </c>
      <c r="B35" s="57">
        <v>100358397938</v>
      </c>
      <c r="C35" s="58" t="s">
        <v>70</v>
      </c>
      <c r="D35" s="98" t="s">
        <v>71</v>
      </c>
      <c r="E35" s="83">
        <v>30</v>
      </c>
      <c r="F35" s="88">
        <v>5500</v>
      </c>
      <c r="G35" s="88">
        <v>5500</v>
      </c>
      <c r="H35" s="61">
        <f t="shared" si="1"/>
        <v>660</v>
      </c>
      <c r="I35" s="21">
        <f t="shared" si="2"/>
        <v>660</v>
      </c>
    </row>
    <row r="36" spans="1:9" s="19" customFormat="1" ht="18" x14ac:dyDescent="0.25">
      <c r="A36" s="45">
        <v>415</v>
      </c>
      <c r="B36" s="57">
        <v>100358404005</v>
      </c>
      <c r="C36" s="58" t="s">
        <v>72</v>
      </c>
      <c r="D36" s="99" t="s">
        <v>73</v>
      </c>
      <c r="E36" s="83">
        <v>30</v>
      </c>
      <c r="F36" s="88">
        <v>2500</v>
      </c>
      <c r="G36" s="88">
        <v>2500</v>
      </c>
      <c r="H36" s="61">
        <f t="shared" si="1"/>
        <v>300</v>
      </c>
      <c r="I36" s="21"/>
    </row>
    <row r="37" spans="1:9" s="19" customFormat="1" ht="15.75" x14ac:dyDescent="0.25">
      <c r="A37" s="45">
        <v>429</v>
      </c>
      <c r="B37" s="57">
        <v>100140247570</v>
      </c>
      <c r="C37" s="58" t="s">
        <v>74</v>
      </c>
      <c r="D37" s="55" t="s">
        <v>74</v>
      </c>
      <c r="E37" s="83">
        <v>30</v>
      </c>
      <c r="F37" s="88">
        <v>2081</v>
      </c>
      <c r="G37" s="88">
        <v>2081</v>
      </c>
      <c r="H37" s="61">
        <f t="shared" si="1"/>
        <v>249.72</v>
      </c>
      <c r="I37" s="21"/>
    </row>
    <row r="38" spans="1:9" s="19" customFormat="1" ht="16.5" x14ac:dyDescent="0.25">
      <c r="A38" s="45">
        <v>434</v>
      </c>
      <c r="B38" s="57">
        <v>100353735967</v>
      </c>
      <c r="C38" s="58" t="s">
        <v>75</v>
      </c>
      <c r="D38" s="100" t="s">
        <v>76</v>
      </c>
      <c r="E38" s="83">
        <v>30</v>
      </c>
      <c r="F38" s="54">
        <v>5500</v>
      </c>
      <c r="G38" s="54">
        <v>5500</v>
      </c>
      <c r="H38" s="61">
        <f t="shared" si="1"/>
        <v>660</v>
      </c>
      <c r="I38" s="21">
        <f t="shared" si="2"/>
        <v>660</v>
      </c>
    </row>
    <row r="39" spans="1:9" s="19" customFormat="1" ht="16.5" x14ac:dyDescent="0.25">
      <c r="A39" s="45">
        <v>435</v>
      </c>
      <c r="B39" s="57">
        <v>100358401923</v>
      </c>
      <c r="C39" s="58" t="s">
        <v>77</v>
      </c>
      <c r="D39" s="100" t="s">
        <v>78</v>
      </c>
      <c r="E39" s="83">
        <v>30</v>
      </c>
      <c r="F39" s="54">
        <v>2000</v>
      </c>
      <c r="G39" s="54">
        <v>2000</v>
      </c>
      <c r="H39" s="61">
        <f t="shared" si="1"/>
        <v>240</v>
      </c>
      <c r="I39" s="21">
        <f t="shared" si="2"/>
        <v>240</v>
      </c>
    </row>
    <row r="40" spans="1:9" s="19" customFormat="1" ht="18" x14ac:dyDescent="0.25">
      <c r="A40" s="45">
        <v>443</v>
      </c>
      <c r="B40" s="57">
        <v>100205552698</v>
      </c>
      <c r="C40" s="58" t="s">
        <v>79</v>
      </c>
      <c r="D40" s="101" t="s">
        <v>80</v>
      </c>
      <c r="E40" s="83">
        <v>30</v>
      </c>
      <c r="F40" s="102">
        <v>5500</v>
      </c>
      <c r="G40" s="102">
        <v>5500</v>
      </c>
      <c r="H40" s="61">
        <f t="shared" si="1"/>
        <v>660</v>
      </c>
      <c r="I40" s="21">
        <f t="shared" si="2"/>
        <v>660</v>
      </c>
    </row>
    <row r="41" spans="1:9" s="19" customFormat="1" ht="33" x14ac:dyDescent="0.25">
      <c r="A41" s="45">
        <v>447</v>
      </c>
      <c r="B41" s="57">
        <v>100134159284</v>
      </c>
      <c r="C41" s="58" t="s">
        <v>81</v>
      </c>
      <c r="D41" s="103" t="s">
        <v>81</v>
      </c>
      <c r="E41" s="83">
        <v>30</v>
      </c>
      <c r="F41" s="103">
        <v>5500</v>
      </c>
      <c r="G41" s="103">
        <v>5500</v>
      </c>
      <c r="H41" s="61">
        <f t="shared" si="1"/>
        <v>660</v>
      </c>
      <c r="I41" s="21">
        <f t="shared" si="2"/>
        <v>660</v>
      </c>
    </row>
    <row r="42" spans="1:9" s="19" customFormat="1" ht="15.75" x14ac:dyDescent="0.25">
      <c r="A42" s="45">
        <v>451</v>
      </c>
      <c r="B42" s="57">
        <v>100162007981</v>
      </c>
      <c r="C42" s="58" t="s">
        <v>82</v>
      </c>
      <c r="D42" s="51" t="s">
        <v>83</v>
      </c>
      <c r="E42" s="83">
        <v>30</v>
      </c>
      <c r="F42" s="104">
        <v>3195</v>
      </c>
      <c r="G42" s="104">
        <v>3195</v>
      </c>
      <c r="H42" s="61">
        <f t="shared" si="1"/>
        <v>383.4</v>
      </c>
      <c r="I42" s="21">
        <f t="shared" si="2"/>
        <v>383.4</v>
      </c>
    </row>
    <row r="43" spans="1:9" s="19" customFormat="1" ht="33" x14ac:dyDescent="0.25">
      <c r="A43" s="45">
        <v>455</v>
      </c>
      <c r="B43" s="57">
        <v>100333498650</v>
      </c>
      <c r="C43" s="58" t="s">
        <v>84</v>
      </c>
      <c r="D43" s="120" t="s">
        <v>84</v>
      </c>
      <c r="E43" s="83">
        <v>30</v>
      </c>
      <c r="F43" s="104">
        <v>2500</v>
      </c>
      <c r="G43" s="104">
        <v>2500</v>
      </c>
      <c r="H43" s="61">
        <f t="shared" si="1"/>
        <v>300</v>
      </c>
      <c r="I43" s="21"/>
    </row>
    <row r="44" spans="1:9" s="19" customFormat="1" ht="18" x14ac:dyDescent="0.25">
      <c r="A44" s="45">
        <v>466</v>
      </c>
      <c r="B44" s="57">
        <v>100232175087</v>
      </c>
      <c r="C44" s="58" t="s">
        <v>85</v>
      </c>
      <c r="D44" s="106" t="s">
        <v>86</v>
      </c>
      <c r="E44" s="83">
        <v>30</v>
      </c>
      <c r="F44" s="107">
        <v>3195</v>
      </c>
      <c r="G44" s="107">
        <v>3195</v>
      </c>
      <c r="H44" s="61">
        <f t="shared" si="1"/>
        <v>383.4</v>
      </c>
      <c r="I44" s="21">
        <f t="shared" si="2"/>
        <v>383.4</v>
      </c>
    </row>
    <row r="45" spans="1:9" s="19" customFormat="1" ht="15.75" x14ac:dyDescent="0.25">
      <c r="A45" s="45">
        <v>481</v>
      </c>
      <c r="B45" s="57">
        <v>100358411358</v>
      </c>
      <c r="C45" s="58" t="s">
        <v>88</v>
      </c>
      <c r="D45" s="108" t="s">
        <v>87</v>
      </c>
      <c r="E45" s="83">
        <v>30</v>
      </c>
      <c r="F45" s="109">
        <v>5500</v>
      </c>
      <c r="G45" s="109">
        <v>5500</v>
      </c>
      <c r="H45" s="61">
        <f t="shared" si="1"/>
        <v>660</v>
      </c>
      <c r="I45" s="21">
        <f t="shared" si="2"/>
        <v>660</v>
      </c>
    </row>
    <row r="46" spans="1:9" s="19" customFormat="1" ht="15.75" x14ac:dyDescent="0.25">
      <c r="A46" s="45">
        <v>482</v>
      </c>
      <c r="B46" s="57">
        <v>100353504634</v>
      </c>
      <c r="C46" s="58" t="s">
        <v>90</v>
      </c>
      <c r="D46" s="108" t="s">
        <v>89</v>
      </c>
      <c r="E46" s="83">
        <v>30</v>
      </c>
      <c r="F46" s="109">
        <v>5500</v>
      </c>
      <c r="G46" s="109">
        <v>5500</v>
      </c>
      <c r="H46" s="61">
        <f t="shared" si="1"/>
        <v>660</v>
      </c>
      <c r="I46" s="21">
        <f t="shared" si="2"/>
        <v>660</v>
      </c>
    </row>
    <row r="47" spans="1:9" s="19" customFormat="1" ht="15.75" x14ac:dyDescent="0.25">
      <c r="A47" s="45">
        <v>483</v>
      </c>
      <c r="B47" s="57">
        <v>100353780044</v>
      </c>
      <c r="C47" s="58" t="s">
        <v>92</v>
      </c>
      <c r="D47" s="108" t="s">
        <v>91</v>
      </c>
      <c r="E47" s="83">
        <v>30</v>
      </c>
      <c r="F47" s="109">
        <v>5500</v>
      </c>
      <c r="G47" s="109">
        <v>5500</v>
      </c>
      <c r="H47" s="61">
        <f t="shared" si="1"/>
        <v>660</v>
      </c>
      <c r="I47" s="21">
        <f t="shared" si="2"/>
        <v>660</v>
      </c>
    </row>
    <row r="48" spans="1:9" s="19" customFormat="1" ht="15.75" x14ac:dyDescent="0.25">
      <c r="A48" s="45">
        <v>485</v>
      </c>
      <c r="B48" s="57">
        <v>100236190637</v>
      </c>
      <c r="C48" s="58" t="s">
        <v>94</v>
      </c>
      <c r="D48" s="108" t="s">
        <v>93</v>
      </c>
      <c r="E48" s="83">
        <v>30</v>
      </c>
      <c r="F48" s="109">
        <v>5500</v>
      </c>
      <c r="G48" s="109">
        <v>5500</v>
      </c>
      <c r="H48" s="61">
        <f t="shared" si="1"/>
        <v>660</v>
      </c>
      <c r="I48" s="21">
        <f t="shared" si="2"/>
        <v>660</v>
      </c>
    </row>
    <row r="49" spans="1:9" s="42" customFormat="1" ht="15.75" x14ac:dyDescent="0.25">
      <c r="A49" s="45">
        <v>487</v>
      </c>
      <c r="B49" s="57">
        <v>100358418267</v>
      </c>
      <c r="C49" s="58" t="s">
        <v>96</v>
      </c>
      <c r="D49" s="108" t="s">
        <v>95</v>
      </c>
      <c r="E49" s="83">
        <v>30</v>
      </c>
      <c r="F49" s="109">
        <v>3475</v>
      </c>
      <c r="G49" s="109">
        <v>3475</v>
      </c>
      <c r="H49" s="61">
        <f t="shared" si="1"/>
        <v>417</v>
      </c>
      <c r="I49" s="21">
        <f t="shared" si="2"/>
        <v>417</v>
      </c>
    </row>
    <row r="50" spans="1:9" s="19" customFormat="1" ht="15.75" x14ac:dyDescent="0.25">
      <c r="A50" s="45">
        <v>491</v>
      </c>
      <c r="B50" s="57">
        <v>100353509071</v>
      </c>
      <c r="C50" s="58" t="s">
        <v>97</v>
      </c>
      <c r="D50" s="58" t="s">
        <v>97</v>
      </c>
      <c r="E50" s="83">
        <v>30</v>
      </c>
      <c r="F50" s="110">
        <v>3195</v>
      </c>
      <c r="G50" s="110">
        <v>3195</v>
      </c>
      <c r="H50" s="61">
        <f t="shared" si="1"/>
        <v>383.4</v>
      </c>
      <c r="I50" s="21">
        <f t="shared" si="2"/>
        <v>383.4</v>
      </c>
    </row>
    <row r="51" spans="1:9" s="19" customFormat="1" ht="15.75" x14ac:dyDescent="0.25">
      <c r="A51" s="45">
        <v>492</v>
      </c>
      <c r="B51" s="57">
        <v>100353508759</v>
      </c>
      <c r="C51" s="58" t="s">
        <v>98</v>
      </c>
      <c r="D51" s="58" t="s">
        <v>98</v>
      </c>
      <c r="E51" s="83">
        <v>30</v>
      </c>
      <c r="F51" s="110">
        <v>3195</v>
      </c>
      <c r="G51" s="110">
        <v>3195</v>
      </c>
      <c r="H51" s="61">
        <f t="shared" si="1"/>
        <v>383.4</v>
      </c>
      <c r="I51" s="21">
        <f t="shared" si="2"/>
        <v>383.4</v>
      </c>
    </row>
    <row r="52" spans="1:9" s="19" customFormat="1" ht="15.75" x14ac:dyDescent="0.25">
      <c r="A52" s="45">
        <v>493</v>
      </c>
      <c r="B52" s="57">
        <v>100353509419</v>
      </c>
      <c r="C52" s="58" t="s">
        <v>99</v>
      </c>
      <c r="D52" s="58" t="s">
        <v>99</v>
      </c>
      <c r="E52" s="83">
        <v>30</v>
      </c>
      <c r="F52" s="110">
        <v>3195</v>
      </c>
      <c r="G52" s="110">
        <v>3195</v>
      </c>
      <c r="H52" s="61">
        <f t="shared" si="1"/>
        <v>383.4</v>
      </c>
      <c r="I52" s="21">
        <f t="shared" si="2"/>
        <v>383.4</v>
      </c>
    </row>
    <row r="53" spans="1:9" s="19" customFormat="1" ht="15.75" x14ac:dyDescent="0.25">
      <c r="A53" s="45">
        <v>496</v>
      </c>
      <c r="B53" s="57">
        <v>100353505607</v>
      </c>
      <c r="C53" s="58" t="s">
        <v>100</v>
      </c>
      <c r="D53" s="58" t="s">
        <v>100</v>
      </c>
      <c r="E53" s="83">
        <v>30</v>
      </c>
      <c r="F53" s="110">
        <v>2000</v>
      </c>
      <c r="G53" s="110">
        <v>2000</v>
      </c>
      <c r="H53" s="61">
        <f t="shared" si="1"/>
        <v>240</v>
      </c>
      <c r="I53" s="21">
        <f>G53*12/100</f>
        <v>240</v>
      </c>
    </row>
    <row r="54" spans="1:9" s="19" customFormat="1" ht="15.75" x14ac:dyDescent="0.25">
      <c r="A54" s="45">
        <v>498</v>
      </c>
      <c r="B54" s="57">
        <v>100353509092</v>
      </c>
      <c r="C54" s="58" t="s">
        <v>101</v>
      </c>
      <c r="D54" s="58" t="s">
        <v>101</v>
      </c>
      <c r="E54" s="83">
        <v>30</v>
      </c>
      <c r="F54" s="110">
        <v>3195</v>
      </c>
      <c r="G54" s="110">
        <v>3195</v>
      </c>
      <c r="H54" s="61">
        <f t="shared" si="1"/>
        <v>383.4</v>
      </c>
      <c r="I54" s="21">
        <f>G54*12/100</f>
        <v>383.4</v>
      </c>
    </row>
    <row r="55" spans="1:9" s="19" customFormat="1" ht="15.75" x14ac:dyDescent="0.25">
      <c r="A55" s="45">
        <v>528</v>
      </c>
      <c r="B55" s="57">
        <v>100353982087</v>
      </c>
      <c r="C55" s="58" t="s">
        <v>102</v>
      </c>
      <c r="D55" s="111" t="s">
        <v>103</v>
      </c>
      <c r="E55" s="83">
        <v>30</v>
      </c>
      <c r="F55" s="110">
        <v>2500</v>
      </c>
      <c r="G55" s="110">
        <v>2500</v>
      </c>
      <c r="H55" s="61">
        <f t="shared" si="1"/>
        <v>300</v>
      </c>
      <c r="I55" s="21"/>
    </row>
    <row r="56" spans="1:9" s="19" customFormat="1" ht="15.75" x14ac:dyDescent="0.25">
      <c r="A56" s="45">
        <v>564</v>
      </c>
      <c r="B56" s="57">
        <v>100358576652</v>
      </c>
      <c r="C56" s="58" t="s">
        <v>104</v>
      </c>
      <c r="D56" s="86" t="s">
        <v>105</v>
      </c>
      <c r="E56" s="83">
        <v>30</v>
      </c>
      <c r="F56" s="112">
        <v>5500</v>
      </c>
      <c r="G56" s="112">
        <v>5500</v>
      </c>
      <c r="H56" s="61">
        <f t="shared" si="1"/>
        <v>660</v>
      </c>
      <c r="I56" s="21" t="e">
        <f>#REF!*12/100</f>
        <v>#REF!</v>
      </c>
    </row>
    <row r="57" spans="1:9" ht="29.25" customHeight="1" x14ac:dyDescent="0.25">
      <c r="A57" s="24"/>
      <c r="B57" s="25"/>
      <c r="C57" s="9"/>
      <c r="D57" s="31"/>
      <c r="E57" s="9"/>
      <c r="F57" s="56">
        <f>SUM(F3:F56)</f>
        <v>226082</v>
      </c>
      <c r="G57" s="56">
        <f>SUM(G3:G56)</f>
        <v>226082</v>
      </c>
      <c r="H57" s="56">
        <f>SUM(H3:H56)</f>
        <v>27129.840000000011</v>
      </c>
      <c r="I57" s="23"/>
    </row>
    <row r="58" spans="1:9" ht="17.25" x14ac:dyDescent="0.25">
      <c r="A58" s="24"/>
      <c r="B58" s="25"/>
      <c r="C58" s="26"/>
      <c r="D58" s="26"/>
      <c r="E58" s="27"/>
      <c r="F58" s="28"/>
      <c r="G58" s="29"/>
      <c r="H58" s="29"/>
      <c r="I58" s="23"/>
    </row>
    <row r="60" spans="1:9" x14ac:dyDescent="0.25">
      <c r="H60" s="36"/>
      <c r="I60" s="37"/>
    </row>
    <row r="61" spans="1:9" x14ac:dyDescent="0.25">
      <c r="A61" s="44"/>
      <c r="B61" s="16"/>
      <c r="C61" s="17"/>
      <c r="D61" s="53"/>
      <c r="E61" s="47"/>
    </row>
    <row r="62" spans="1:9" x14ac:dyDescent="0.25">
      <c r="I62" s="38"/>
    </row>
    <row r="64" spans="1:9" x14ac:dyDescent="0.25">
      <c r="F64" s="39"/>
      <c r="G64" s="39"/>
      <c r="I64" s="38"/>
    </row>
    <row r="66" spans="1:14" x14ac:dyDescent="0.25">
      <c r="F66" s="39"/>
    </row>
    <row r="67" spans="1:14" x14ac:dyDescent="0.25">
      <c r="F67" s="39"/>
    </row>
    <row r="68" spans="1:14" x14ac:dyDescent="0.25">
      <c r="G68" s="39"/>
    </row>
    <row r="69" spans="1:14" x14ac:dyDescent="0.25">
      <c r="F69" s="40"/>
      <c r="G69" s="40"/>
      <c r="I69" s="23"/>
    </row>
    <row r="70" spans="1:14" x14ac:dyDescent="0.25">
      <c r="F70" s="40"/>
      <c r="G70" s="41"/>
    </row>
    <row r="71" spans="1:14" x14ac:dyDescent="0.25">
      <c r="F71" s="40"/>
      <c r="G71" s="40"/>
      <c r="I71" s="23"/>
    </row>
    <row r="72" spans="1:14" ht="25.5" x14ac:dyDescent="0.25">
      <c r="A72" s="18" t="s">
        <v>106</v>
      </c>
      <c r="B72" s="20">
        <v>19250</v>
      </c>
      <c r="C72" s="20">
        <v>13960</v>
      </c>
      <c r="D72" s="20">
        <v>1800</v>
      </c>
      <c r="E72" s="30"/>
      <c r="F72" s="31"/>
      <c r="G72" s="31"/>
      <c r="H72" s="31"/>
      <c r="I72" s="32"/>
      <c r="J72" s="33"/>
      <c r="K72" s="40"/>
      <c r="L72" s="40"/>
      <c r="M72" s="35"/>
      <c r="N72" s="22"/>
    </row>
    <row r="74" spans="1:14" x14ac:dyDescent="0.25">
      <c r="E74" s="33">
        <v>42983</v>
      </c>
      <c r="F74" s="34">
        <v>17783</v>
      </c>
      <c r="G74" s="34">
        <f>E74-F74</f>
        <v>25200</v>
      </c>
    </row>
    <row r="75" spans="1:14" x14ac:dyDescent="0.25">
      <c r="G75" s="34">
        <v>18114</v>
      </c>
    </row>
    <row r="76" spans="1:14" x14ac:dyDescent="0.25">
      <c r="G76" s="34">
        <f>SUM(G74:G75)</f>
        <v>43314</v>
      </c>
      <c r="H76" s="35">
        <v>42728</v>
      </c>
      <c r="I76" s="22">
        <f>G76-H76</f>
        <v>586</v>
      </c>
    </row>
    <row r="80" spans="1:14" s="30" customFormat="1" x14ac:dyDescent="0.25">
      <c r="B80" s="31"/>
      <c r="C80" s="31"/>
      <c r="D80" s="32"/>
      <c r="E80" s="33"/>
      <c r="F80" s="34"/>
      <c r="G80" s="34"/>
      <c r="H80" s="35"/>
      <c r="I80" s="22"/>
    </row>
    <row r="111" spans="2:9" s="30" customFormat="1" x14ac:dyDescent="0.25">
      <c r="B111" s="31"/>
      <c r="C111" s="31"/>
      <c r="D111" s="32"/>
      <c r="E111" s="33"/>
      <c r="F111" s="34"/>
      <c r="G111" s="34"/>
      <c r="H111" s="35"/>
      <c r="I111" s="22"/>
    </row>
    <row r="166" spans="2:9" s="30" customFormat="1" x14ac:dyDescent="0.25">
      <c r="B166" s="31"/>
      <c r="C166" s="31"/>
      <c r="D166" s="32"/>
      <c r="E166" s="33"/>
      <c r="F166" s="34"/>
      <c r="G166" s="34"/>
      <c r="H166" s="35"/>
      <c r="I166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67"/>
  <sheetViews>
    <sheetView zoomScale="115" zoomScaleNormal="115" workbookViewId="0">
      <selection activeCell="C58" sqref="C58"/>
    </sheetView>
  </sheetViews>
  <sheetFormatPr defaultRowHeight="18.75" x14ac:dyDescent="0.25"/>
  <cols>
    <col min="1" max="1" width="9.140625" style="30"/>
    <col min="2" max="2" width="19.8554687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5703125" style="35" bestFit="1" customWidth="1"/>
    <col min="9" max="9" width="9.140625" style="22"/>
    <col min="10" max="16384" width="9.140625" style="9"/>
  </cols>
  <sheetData>
    <row r="1" spans="1:9" x14ac:dyDescent="0.25">
      <c r="A1" s="1">
        <v>39783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>G3*12/100</f>
        <v>660</v>
      </c>
      <c r="I3" s="21">
        <f t="shared" ref="I3:I20" si="0">G3*12/100</f>
        <v>660</v>
      </c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5500</v>
      </c>
      <c r="G4" s="61">
        <v>5500</v>
      </c>
      <c r="H4" s="61">
        <f t="shared" ref="H4:H57" si="1">G4*12/100</f>
        <v>660</v>
      </c>
      <c r="I4" s="21">
        <f t="shared" si="0"/>
        <v>660</v>
      </c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2500</v>
      </c>
      <c r="G5" s="62">
        <v>2500</v>
      </c>
      <c r="H5" s="61">
        <f t="shared" si="1"/>
        <v>300</v>
      </c>
      <c r="I5" s="21">
        <f t="shared" si="0"/>
        <v>300</v>
      </c>
    </row>
    <row r="6" spans="1:9" s="19" customFormat="1" ht="15.75" x14ac:dyDescent="0.25">
      <c r="A6" s="45">
        <v>38</v>
      </c>
      <c r="B6" s="57">
        <v>100217136235</v>
      </c>
      <c r="C6" s="58" t="s">
        <v>13</v>
      </c>
      <c r="D6" s="63" t="s">
        <v>14</v>
      </c>
      <c r="E6" s="59">
        <v>30</v>
      </c>
      <c r="F6" s="62">
        <v>2500</v>
      </c>
      <c r="G6" s="62">
        <v>2500</v>
      </c>
      <c r="H6" s="61">
        <f t="shared" si="1"/>
        <v>300</v>
      </c>
      <c r="I6" s="21"/>
    </row>
    <row r="7" spans="1:9" s="19" customFormat="1" ht="25.5" x14ac:dyDescent="0.25">
      <c r="A7" s="45">
        <v>50</v>
      </c>
      <c r="B7" s="57">
        <v>100253724762</v>
      </c>
      <c r="C7" s="58" t="s">
        <v>15</v>
      </c>
      <c r="D7" s="64" t="s">
        <v>16</v>
      </c>
      <c r="E7" s="65">
        <v>30</v>
      </c>
      <c r="F7" s="64">
        <v>5500</v>
      </c>
      <c r="G7" s="64">
        <v>5500</v>
      </c>
      <c r="H7" s="61">
        <f t="shared" si="1"/>
        <v>660</v>
      </c>
      <c r="I7" s="21">
        <f t="shared" si="0"/>
        <v>660</v>
      </c>
    </row>
    <row r="8" spans="1:9" s="19" customFormat="1" ht="15.75" x14ac:dyDescent="0.25">
      <c r="A8" s="45">
        <v>82</v>
      </c>
      <c r="B8" s="57">
        <v>100337411384</v>
      </c>
      <c r="C8" s="58" t="s">
        <v>18</v>
      </c>
      <c r="D8" s="67" t="s">
        <v>18</v>
      </c>
      <c r="E8" s="65">
        <v>29</v>
      </c>
      <c r="F8" s="64">
        <v>3195</v>
      </c>
      <c r="G8" s="64">
        <v>3195</v>
      </c>
      <c r="H8" s="61">
        <f t="shared" si="1"/>
        <v>383.4</v>
      </c>
      <c r="I8" s="21">
        <f t="shared" si="0"/>
        <v>383.4</v>
      </c>
    </row>
    <row r="9" spans="1:9" s="19" customFormat="1" ht="15.75" x14ac:dyDescent="0.25">
      <c r="A9" s="45">
        <v>96</v>
      </c>
      <c r="B9" s="57">
        <v>100071591724</v>
      </c>
      <c r="C9" s="58" t="s">
        <v>21</v>
      </c>
      <c r="D9" s="65" t="s">
        <v>21</v>
      </c>
      <c r="E9" s="65">
        <v>30</v>
      </c>
      <c r="F9" s="64">
        <v>5500</v>
      </c>
      <c r="G9" s="64">
        <v>5500</v>
      </c>
      <c r="H9" s="61">
        <f t="shared" si="1"/>
        <v>660</v>
      </c>
      <c r="I9" s="21">
        <f t="shared" si="0"/>
        <v>660</v>
      </c>
    </row>
    <row r="10" spans="1:9" s="19" customFormat="1" ht="15.75" x14ac:dyDescent="0.25">
      <c r="A10" s="45">
        <v>112</v>
      </c>
      <c r="B10" s="57">
        <v>100353622159</v>
      </c>
      <c r="C10" s="58" t="s">
        <v>24</v>
      </c>
      <c r="D10" s="65" t="s">
        <v>25</v>
      </c>
      <c r="E10" s="48">
        <v>30</v>
      </c>
      <c r="F10" s="48">
        <v>5500</v>
      </c>
      <c r="G10" s="48">
        <v>5500</v>
      </c>
      <c r="H10" s="61">
        <f t="shared" si="1"/>
        <v>660</v>
      </c>
      <c r="I10" s="21">
        <f t="shared" si="0"/>
        <v>660</v>
      </c>
    </row>
    <row r="11" spans="1:9" s="19" customFormat="1" ht="15.75" x14ac:dyDescent="0.25">
      <c r="A11" s="45">
        <v>126</v>
      </c>
      <c r="B11" s="57">
        <v>100358535750</v>
      </c>
      <c r="C11" s="58" t="s">
        <v>26</v>
      </c>
      <c r="D11" s="51" t="s">
        <v>27</v>
      </c>
      <c r="E11" s="69">
        <v>30</v>
      </c>
      <c r="F11" s="69">
        <v>5500</v>
      </c>
      <c r="G11" s="69">
        <v>5500</v>
      </c>
      <c r="H11" s="61">
        <f t="shared" si="1"/>
        <v>660</v>
      </c>
      <c r="I11" s="21">
        <f t="shared" si="0"/>
        <v>660</v>
      </c>
    </row>
    <row r="12" spans="1:9" s="19" customFormat="1" ht="15.75" x14ac:dyDescent="0.25">
      <c r="A12" s="45">
        <v>134</v>
      </c>
      <c r="B12" s="57">
        <v>100084707366</v>
      </c>
      <c r="C12" s="58" t="s">
        <v>28</v>
      </c>
      <c r="D12" s="71" t="s">
        <v>28</v>
      </c>
      <c r="E12" s="48">
        <v>30</v>
      </c>
      <c r="F12" s="71">
        <v>3620</v>
      </c>
      <c r="G12" s="71">
        <v>3620</v>
      </c>
      <c r="H12" s="61">
        <f t="shared" si="1"/>
        <v>434.4</v>
      </c>
      <c r="I12" s="21">
        <f t="shared" si="0"/>
        <v>434.4</v>
      </c>
    </row>
    <row r="13" spans="1:9" s="19" customFormat="1" ht="15.75" x14ac:dyDescent="0.25">
      <c r="A13" s="45">
        <v>136</v>
      </c>
      <c r="B13" s="57">
        <v>100167059875</v>
      </c>
      <c r="C13" s="58" t="s">
        <v>29</v>
      </c>
      <c r="D13" s="65" t="s">
        <v>30</v>
      </c>
      <c r="E13" s="48">
        <v>30</v>
      </c>
      <c r="F13" s="49">
        <v>5500</v>
      </c>
      <c r="G13" s="49">
        <v>5500</v>
      </c>
      <c r="H13" s="61">
        <f t="shared" si="1"/>
        <v>660</v>
      </c>
      <c r="I13" s="21">
        <f t="shared" si="0"/>
        <v>660</v>
      </c>
    </row>
    <row r="14" spans="1:9" s="19" customFormat="1" ht="15.75" x14ac:dyDescent="0.25">
      <c r="A14" s="45">
        <v>149</v>
      </c>
      <c r="B14" s="57">
        <v>100333985226</v>
      </c>
      <c r="C14" s="58" t="s">
        <v>31</v>
      </c>
      <c r="D14" s="51" t="s">
        <v>32</v>
      </c>
      <c r="E14" s="72">
        <v>30</v>
      </c>
      <c r="F14" s="72">
        <v>2000</v>
      </c>
      <c r="G14" s="72">
        <v>2000</v>
      </c>
      <c r="H14" s="61">
        <f t="shared" si="1"/>
        <v>240</v>
      </c>
      <c r="I14" s="21">
        <f t="shared" si="0"/>
        <v>240</v>
      </c>
    </row>
    <row r="15" spans="1:9" s="19" customFormat="1" ht="15.75" x14ac:dyDescent="0.25">
      <c r="A15" s="45">
        <v>169</v>
      </c>
      <c r="B15" s="57">
        <v>100112097052</v>
      </c>
      <c r="C15" s="58" t="s">
        <v>116</v>
      </c>
      <c r="D15" s="73" t="s">
        <v>117</v>
      </c>
      <c r="E15" s="60">
        <v>30</v>
      </c>
      <c r="F15" s="74">
        <v>5500</v>
      </c>
      <c r="G15" s="74">
        <v>5500</v>
      </c>
      <c r="H15" s="61">
        <f t="shared" si="1"/>
        <v>660</v>
      </c>
      <c r="I15" s="21"/>
    </row>
    <row r="16" spans="1:9" s="19" customFormat="1" ht="15.75" x14ac:dyDescent="0.25">
      <c r="A16" s="45">
        <v>186</v>
      </c>
      <c r="B16" s="57">
        <v>100353962659</v>
      </c>
      <c r="C16" s="58" t="s">
        <v>118</v>
      </c>
      <c r="D16" s="51" t="s">
        <v>119</v>
      </c>
      <c r="E16" s="72">
        <v>30</v>
      </c>
      <c r="F16" s="72">
        <v>1000</v>
      </c>
      <c r="G16" s="72">
        <v>1000</v>
      </c>
      <c r="H16" s="61">
        <f t="shared" si="1"/>
        <v>120</v>
      </c>
      <c r="I16" s="21"/>
    </row>
    <row r="17" spans="1:256" s="19" customFormat="1" ht="15.75" x14ac:dyDescent="0.25">
      <c r="A17" s="45">
        <v>191</v>
      </c>
      <c r="B17" s="57">
        <v>100094359606</v>
      </c>
      <c r="C17" s="58" t="s">
        <v>33</v>
      </c>
      <c r="D17" s="75" t="s">
        <v>33</v>
      </c>
      <c r="E17" s="75">
        <v>30</v>
      </c>
      <c r="F17" s="75">
        <v>2500</v>
      </c>
      <c r="G17" s="75">
        <v>2500</v>
      </c>
      <c r="H17" s="61">
        <f t="shared" si="1"/>
        <v>300</v>
      </c>
      <c r="I17" s="21">
        <f t="shared" si="0"/>
        <v>300</v>
      </c>
    </row>
    <row r="18" spans="1:256" s="19" customFormat="1" ht="15.75" x14ac:dyDescent="0.25">
      <c r="A18" s="45">
        <v>195</v>
      </c>
      <c r="B18" s="57">
        <v>100235466823</v>
      </c>
      <c r="C18" s="58" t="s">
        <v>34</v>
      </c>
      <c r="D18" s="75" t="s">
        <v>35</v>
      </c>
      <c r="E18" s="75">
        <v>30</v>
      </c>
      <c r="F18" s="75">
        <v>5500</v>
      </c>
      <c r="G18" s="75">
        <v>5500</v>
      </c>
      <c r="H18" s="61">
        <f t="shared" si="1"/>
        <v>660</v>
      </c>
      <c r="I18" s="21">
        <f t="shared" si="0"/>
        <v>660</v>
      </c>
    </row>
    <row r="19" spans="1:256" s="19" customFormat="1" ht="16.5" customHeight="1" x14ac:dyDescent="0.25">
      <c r="A19" s="45">
        <v>199</v>
      </c>
      <c r="B19" s="57">
        <v>100232183759</v>
      </c>
      <c r="C19" s="58" t="s">
        <v>36</v>
      </c>
      <c r="D19" s="76" t="s">
        <v>36</v>
      </c>
      <c r="E19" s="45">
        <v>30</v>
      </c>
      <c r="F19" s="57">
        <v>3000</v>
      </c>
      <c r="G19" s="57">
        <v>3000</v>
      </c>
      <c r="H19" s="61">
        <f t="shared" si="1"/>
        <v>360</v>
      </c>
      <c r="I19" s="44"/>
      <c r="J19" s="16"/>
      <c r="K19" s="17"/>
      <c r="L19" s="52"/>
      <c r="M19" s="44"/>
      <c r="N19" s="16"/>
      <c r="O19" s="17"/>
      <c r="P19" s="52"/>
      <c r="Q19" s="44"/>
      <c r="R19" s="16"/>
      <c r="S19" s="17"/>
      <c r="T19" s="52"/>
      <c r="U19" s="44"/>
      <c r="V19" s="16"/>
      <c r="W19" s="17"/>
      <c r="X19" s="52"/>
      <c r="Y19" s="44"/>
      <c r="Z19" s="16"/>
      <c r="AA19" s="17"/>
      <c r="AB19" s="52"/>
      <c r="AC19" s="44"/>
      <c r="AD19" s="16"/>
      <c r="AE19" s="17"/>
      <c r="AF19" s="52"/>
      <c r="AG19" s="44"/>
      <c r="AH19" s="16"/>
      <c r="AI19" s="17"/>
      <c r="AJ19" s="52"/>
      <c r="AK19" s="44"/>
      <c r="AL19" s="16"/>
      <c r="AM19" s="17"/>
      <c r="AN19" s="52"/>
      <c r="AO19" s="44"/>
      <c r="AP19" s="16"/>
      <c r="AQ19" s="17"/>
      <c r="AR19" s="52"/>
      <c r="AS19" s="44"/>
      <c r="AT19" s="16"/>
      <c r="AU19" s="17"/>
      <c r="AV19" s="52"/>
      <c r="AW19" s="44"/>
      <c r="AX19" s="16"/>
      <c r="AY19" s="17"/>
      <c r="AZ19" s="52"/>
      <c r="BA19" s="44"/>
      <c r="BB19" s="16"/>
      <c r="BC19" s="17"/>
      <c r="BD19" s="52"/>
      <c r="BE19" s="44"/>
      <c r="BF19" s="16"/>
      <c r="BG19" s="17"/>
      <c r="BH19" s="52"/>
      <c r="BI19" s="44"/>
      <c r="BJ19" s="16"/>
      <c r="BK19" s="17"/>
      <c r="BL19" s="52"/>
      <c r="BM19" s="44"/>
      <c r="BN19" s="16"/>
      <c r="BO19" s="17"/>
      <c r="BP19" s="52"/>
      <c r="BQ19" s="44"/>
      <c r="BR19" s="16"/>
      <c r="BS19" s="17"/>
      <c r="BT19" s="52"/>
      <c r="BU19" s="44"/>
      <c r="BV19" s="16"/>
      <c r="BW19" s="17"/>
      <c r="BX19" s="52"/>
      <c r="BY19" s="44"/>
      <c r="BZ19" s="16"/>
      <c r="CA19" s="17"/>
      <c r="CB19" s="52"/>
      <c r="CC19" s="44">
        <v>199</v>
      </c>
      <c r="CD19" s="16">
        <v>100232183759</v>
      </c>
      <c r="CE19" s="17" t="s">
        <v>36</v>
      </c>
      <c r="CF19" s="52" t="s">
        <v>36</v>
      </c>
      <c r="CG19" s="44">
        <v>199</v>
      </c>
      <c r="CH19" s="16">
        <v>100232183759</v>
      </c>
      <c r="CI19" s="17" t="s">
        <v>36</v>
      </c>
      <c r="CJ19" s="52" t="s">
        <v>36</v>
      </c>
      <c r="CK19" s="44">
        <v>199</v>
      </c>
      <c r="CL19" s="16">
        <v>100232183759</v>
      </c>
      <c r="CM19" s="17" t="s">
        <v>36</v>
      </c>
      <c r="CN19" s="52" t="s">
        <v>36</v>
      </c>
      <c r="CO19" s="44">
        <v>199</v>
      </c>
      <c r="CP19" s="16">
        <v>100232183759</v>
      </c>
      <c r="CQ19" s="17" t="s">
        <v>36</v>
      </c>
      <c r="CR19" s="52" t="s">
        <v>36</v>
      </c>
      <c r="CS19" s="44">
        <v>199</v>
      </c>
      <c r="CT19" s="16">
        <v>100232183759</v>
      </c>
      <c r="CU19" s="17" t="s">
        <v>36</v>
      </c>
      <c r="CV19" s="52" t="s">
        <v>36</v>
      </c>
      <c r="CW19" s="44">
        <v>199</v>
      </c>
      <c r="CX19" s="16">
        <v>100232183759</v>
      </c>
      <c r="CY19" s="17" t="s">
        <v>36</v>
      </c>
      <c r="CZ19" s="52" t="s">
        <v>36</v>
      </c>
      <c r="DA19" s="44">
        <v>199</v>
      </c>
      <c r="DB19" s="16">
        <v>100232183759</v>
      </c>
      <c r="DC19" s="17" t="s">
        <v>36</v>
      </c>
      <c r="DD19" s="52" t="s">
        <v>36</v>
      </c>
      <c r="DE19" s="44">
        <v>199</v>
      </c>
      <c r="DF19" s="16">
        <v>100232183759</v>
      </c>
      <c r="DG19" s="17" t="s">
        <v>36</v>
      </c>
      <c r="DH19" s="52" t="s">
        <v>36</v>
      </c>
      <c r="DI19" s="44">
        <v>199</v>
      </c>
      <c r="DJ19" s="16">
        <v>100232183759</v>
      </c>
      <c r="DK19" s="17" t="s">
        <v>36</v>
      </c>
      <c r="DL19" s="52" t="s">
        <v>36</v>
      </c>
      <c r="DM19" s="44">
        <v>199</v>
      </c>
      <c r="DN19" s="16">
        <v>100232183759</v>
      </c>
      <c r="DO19" s="17" t="s">
        <v>36</v>
      </c>
      <c r="DP19" s="52" t="s">
        <v>36</v>
      </c>
      <c r="DQ19" s="44">
        <v>199</v>
      </c>
      <c r="DR19" s="16">
        <v>100232183759</v>
      </c>
      <c r="DS19" s="17" t="s">
        <v>36</v>
      </c>
      <c r="DT19" s="52" t="s">
        <v>36</v>
      </c>
      <c r="DU19" s="44">
        <v>199</v>
      </c>
      <c r="DV19" s="16">
        <v>100232183759</v>
      </c>
      <c r="DW19" s="17" t="s">
        <v>36</v>
      </c>
      <c r="DX19" s="52" t="s">
        <v>36</v>
      </c>
      <c r="DY19" s="44">
        <v>199</v>
      </c>
      <c r="DZ19" s="16">
        <v>100232183759</v>
      </c>
      <c r="EA19" s="17" t="s">
        <v>36</v>
      </c>
      <c r="EB19" s="52" t="s">
        <v>36</v>
      </c>
      <c r="EC19" s="44">
        <v>199</v>
      </c>
      <c r="ED19" s="16">
        <v>100232183759</v>
      </c>
      <c r="EE19" s="17" t="s">
        <v>36</v>
      </c>
      <c r="EF19" s="52" t="s">
        <v>36</v>
      </c>
      <c r="EG19" s="44">
        <v>199</v>
      </c>
      <c r="EH19" s="16">
        <v>100232183759</v>
      </c>
      <c r="EI19" s="17" t="s">
        <v>36</v>
      </c>
      <c r="EJ19" s="52" t="s">
        <v>36</v>
      </c>
      <c r="EK19" s="44">
        <v>199</v>
      </c>
      <c r="EL19" s="16">
        <v>100232183759</v>
      </c>
      <c r="EM19" s="17" t="s">
        <v>36</v>
      </c>
      <c r="EN19" s="52" t="s">
        <v>36</v>
      </c>
      <c r="EO19" s="44">
        <v>199</v>
      </c>
      <c r="EP19" s="16">
        <v>100232183759</v>
      </c>
      <c r="EQ19" s="17" t="s">
        <v>36</v>
      </c>
      <c r="ER19" s="52" t="s">
        <v>36</v>
      </c>
      <c r="ES19" s="44">
        <v>199</v>
      </c>
      <c r="ET19" s="16">
        <v>100232183759</v>
      </c>
      <c r="EU19" s="17" t="s">
        <v>36</v>
      </c>
      <c r="EV19" s="52" t="s">
        <v>36</v>
      </c>
      <c r="EW19" s="44">
        <v>199</v>
      </c>
      <c r="EX19" s="16">
        <v>100232183759</v>
      </c>
      <c r="EY19" s="17" t="s">
        <v>36</v>
      </c>
      <c r="EZ19" s="52" t="s">
        <v>36</v>
      </c>
      <c r="FA19" s="44">
        <v>199</v>
      </c>
      <c r="FB19" s="16">
        <v>100232183759</v>
      </c>
      <c r="FC19" s="17" t="s">
        <v>36</v>
      </c>
      <c r="FD19" s="52" t="s">
        <v>36</v>
      </c>
      <c r="FE19" s="44">
        <v>199</v>
      </c>
      <c r="FF19" s="16">
        <v>100232183759</v>
      </c>
      <c r="FG19" s="17" t="s">
        <v>36</v>
      </c>
      <c r="FH19" s="52" t="s">
        <v>36</v>
      </c>
      <c r="FI19" s="44">
        <v>199</v>
      </c>
      <c r="FJ19" s="16">
        <v>100232183759</v>
      </c>
      <c r="FK19" s="17" t="s">
        <v>36</v>
      </c>
      <c r="FL19" s="52" t="s">
        <v>36</v>
      </c>
      <c r="FM19" s="44">
        <v>199</v>
      </c>
      <c r="FN19" s="16">
        <v>100232183759</v>
      </c>
      <c r="FO19" s="17" t="s">
        <v>36</v>
      </c>
      <c r="FP19" s="52" t="s">
        <v>36</v>
      </c>
      <c r="FQ19" s="44">
        <v>199</v>
      </c>
      <c r="FR19" s="16">
        <v>100232183759</v>
      </c>
      <c r="FS19" s="17" t="s">
        <v>36</v>
      </c>
      <c r="FT19" s="52" t="s">
        <v>36</v>
      </c>
      <c r="FU19" s="44">
        <v>199</v>
      </c>
      <c r="FV19" s="16">
        <v>100232183759</v>
      </c>
      <c r="FW19" s="17" t="s">
        <v>36</v>
      </c>
      <c r="FX19" s="52" t="s">
        <v>36</v>
      </c>
      <c r="FY19" s="44">
        <v>199</v>
      </c>
      <c r="FZ19" s="16">
        <v>100232183759</v>
      </c>
      <c r="GA19" s="17" t="s">
        <v>36</v>
      </c>
      <c r="GB19" s="52" t="s">
        <v>36</v>
      </c>
      <c r="GC19" s="44">
        <v>199</v>
      </c>
      <c r="GD19" s="16">
        <v>100232183759</v>
      </c>
      <c r="GE19" s="17" t="s">
        <v>36</v>
      </c>
      <c r="GF19" s="52" t="s">
        <v>36</v>
      </c>
      <c r="GG19" s="44">
        <v>199</v>
      </c>
      <c r="GH19" s="16">
        <v>100232183759</v>
      </c>
      <c r="GI19" s="17" t="s">
        <v>36</v>
      </c>
      <c r="GJ19" s="52" t="s">
        <v>36</v>
      </c>
      <c r="GK19" s="44">
        <v>199</v>
      </c>
      <c r="GL19" s="16">
        <v>100232183759</v>
      </c>
      <c r="GM19" s="17" t="s">
        <v>36</v>
      </c>
      <c r="GN19" s="52" t="s">
        <v>36</v>
      </c>
      <c r="GO19" s="44">
        <v>199</v>
      </c>
      <c r="GP19" s="16">
        <v>100232183759</v>
      </c>
      <c r="GQ19" s="17" t="s">
        <v>36</v>
      </c>
      <c r="GR19" s="52" t="s">
        <v>36</v>
      </c>
      <c r="GS19" s="44">
        <v>199</v>
      </c>
      <c r="GT19" s="16">
        <v>100232183759</v>
      </c>
      <c r="GU19" s="17" t="s">
        <v>36</v>
      </c>
      <c r="GV19" s="52" t="s">
        <v>36</v>
      </c>
      <c r="GW19" s="44">
        <v>199</v>
      </c>
      <c r="GX19" s="16">
        <v>100232183759</v>
      </c>
      <c r="GY19" s="17" t="s">
        <v>36</v>
      </c>
      <c r="GZ19" s="52" t="s">
        <v>36</v>
      </c>
      <c r="HA19" s="44">
        <v>199</v>
      </c>
      <c r="HB19" s="16">
        <v>100232183759</v>
      </c>
      <c r="HC19" s="17" t="s">
        <v>36</v>
      </c>
      <c r="HD19" s="52" t="s">
        <v>36</v>
      </c>
      <c r="HE19" s="44">
        <v>199</v>
      </c>
      <c r="HF19" s="16">
        <v>100232183759</v>
      </c>
      <c r="HG19" s="17" t="s">
        <v>36</v>
      </c>
      <c r="HH19" s="52" t="s">
        <v>36</v>
      </c>
      <c r="HI19" s="44">
        <v>199</v>
      </c>
      <c r="HJ19" s="16">
        <v>100232183759</v>
      </c>
      <c r="HK19" s="17" t="s">
        <v>36</v>
      </c>
      <c r="HL19" s="52" t="s">
        <v>36</v>
      </c>
      <c r="HM19" s="44">
        <v>199</v>
      </c>
      <c r="HN19" s="16">
        <v>100232183759</v>
      </c>
      <c r="HO19" s="17" t="s">
        <v>36</v>
      </c>
      <c r="HP19" s="52" t="s">
        <v>36</v>
      </c>
      <c r="HQ19" s="44">
        <v>199</v>
      </c>
      <c r="HR19" s="16">
        <v>100232183759</v>
      </c>
      <c r="HS19" s="17" t="s">
        <v>36</v>
      </c>
      <c r="HT19" s="52" t="s">
        <v>36</v>
      </c>
      <c r="HU19" s="44">
        <v>199</v>
      </c>
      <c r="HV19" s="16">
        <v>100232183759</v>
      </c>
      <c r="HW19" s="17" t="s">
        <v>36</v>
      </c>
      <c r="HX19" s="52" t="s">
        <v>36</v>
      </c>
      <c r="HY19" s="44">
        <v>199</v>
      </c>
      <c r="HZ19" s="16">
        <v>100232183759</v>
      </c>
      <c r="IA19" s="17" t="s">
        <v>36</v>
      </c>
      <c r="IB19" s="52" t="s">
        <v>36</v>
      </c>
      <c r="IC19" s="44">
        <v>199</v>
      </c>
      <c r="ID19" s="16">
        <v>100232183759</v>
      </c>
      <c r="IE19" s="17" t="s">
        <v>36</v>
      </c>
      <c r="IF19" s="52" t="s">
        <v>36</v>
      </c>
      <c r="IG19" s="44">
        <v>199</v>
      </c>
      <c r="IH19" s="16">
        <v>100232183759</v>
      </c>
      <c r="II19" s="17" t="s">
        <v>36</v>
      </c>
      <c r="IJ19" s="52" t="s">
        <v>36</v>
      </c>
      <c r="IK19" s="44">
        <v>199</v>
      </c>
      <c r="IL19" s="16">
        <v>100232183759</v>
      </c>
      <c r="IM19" s="17" t="s">
        <v>36</v>
      </c>
      <c r="IN19" s="52" t="s">
        <v>36</v>
      </c>
      <c r="IO19" s="44">
        <v>199</v>
      </c>
      <c r="IP19" s="16">
        <v>100232183759</v>
      </c>
      <c r="IQ19" s="17" t="s">
        <v>36</v>
      </c>
      <c r="IR19" s="52" t="s">
        <v>36</v>
      </c>
      <c r="IS19" s="44">
        <v>199</v>
      </c>
      <c r="IT19" s="16">
        <v>100232183759</v>
      </c>
      <c r="IU19" s="17" t="s">
        <v>36</v>
      </c>
      <c r="IV19" s="52" t="s">
        <v>36</v>
      </c>
    </row>
    <row r="20" spans="1:256" s="19" customFormat="1" ht="30" x14ac:dyDescent="0.25">
      <c r="A20" s="45">
        <v>204</v>
      </c>
      <c r="B20" s="57">
        <v>100232169483</v>
      </c>
      <c r="C20" s="58" t="s">
        <v>37</v>
      </c>
      <c r="D20" s="75" t="s">
        <v>38</v>
      </c>
      <c r="E20" s="50">
        <v>30</v>
      </c>
      <c r="F20" s="50">
        <v>5500</v>
      </c>
      <c r="G20" s="50">
        <v>5500</v>
      </c>
      <c r="H20" s="61">
        <f t="shared" si="1"/>
        <v>660</v>
      </c>
      <c r="I20" s="21">
        <f t="shared" si="0"/>
        <v>660</v>
      </c>
    </row>
    <row r="21" spans="1:256" s="19" customFormat="1" ht="15.75" x14ac:dyDescent="0.25">
      <c r="A21" s="45">
        <v>224</v>
      </c>
      <c r="B21" s="57">
        <v>100112371371</v>
      </c>
      <c r="C21" s="58" t="s">
        <v>39</v>
      </c>
      <c r="D21" s="77" t="s">
        <v>40</v>
      </c>
      <c r="E21" s="75">
        <v>30</v>
      </c>
      <c r="F21" s="77">
        <v>5500</v>
      </c>
      <c r="G21" s="77">
        <v>5500</v>
      </c>
      <c r="H21" s="61">
        <f t="shared" si="1"/>
        <v>660</v>
      </c>
      <c r="I21" s="21">
        <f>G21*12/100</f>
        <v>660</v>
      </c>
    </row>
    <row r="22" spans="1:256" s="19" customFormat="1" ht="15.75" x14ac:dyDescent="0.25">
      <c r="A22" s="45">
        <v>226</v>
      </c>
      <c r="B22" s="57">
        <v>100310052599</v>
      </c>
      <c r="C22" s="58" t="s">
        <v>41</v>
      </c>
      <c r="D22" s="78" t="s">
        <v>42</v>
      </c>
      <c r="E22" s="50">
        <v>30</v>
      </c>
      <c r="F22" s="77">
        <v>2500</v>
      </c>
      <c r="G22" s="77">
        <v>2500</v>
      </c>
      <c r="H22" s="61">
        <f t="shared" si="1"/>
        <v>300</v>
      </c>
      <c r="I22" s="21"/>
    </row>
    <row r="23" spans="1:256" s="19" customFormat="1" ht="15.75" x14ac:dyDescent="0.25">
      <c r="A23" s="45">
        <v>252</v>
      </c>
      <c r="B23" s="57">
        <v>100373345016</v>
      </c>
      <c r="C23" s="58" t="s">
        <v>43</v>
      </c>
      <c r="D23" s="79" t="s">
        <v>44</v>
      </c>
      <c r="E23" s="77">
        <v>30</v>
      </c>
      <c r="F23" s="80">
        <v>5500</v>
      </c>
      <c r="G23" s="80">
        <v>5500</v>
      </c>
      <c r="H23" s="61">
        <f t="shared" si="1"/>
        <v>660</v>
      </c>
      <c r="I23" s="21">
        <f>G23*12/100</f>
        <v>660</v>
      </c>
    </row>
    <row r="24" spans="1:256" s="19" customFormat="1" ht="15.75" x14ac:dyDescent="0.25">
      <c r="A24" s="45">
        <v>261</v>
      </c>
      <c r="B24" s="57">
        <v>100222141431</v>
      </c>
      <c r="C24" s="58" t="s">
        <v>45</v>
      </c>
      <c r="D24" s="81" t="s">
        <v>45</v>
      </c>
      <c r="E24" s="82">
        <v>30</v>
      </c>
      <c r="F24" s="80">
        <v>1042</v>
      </c>
      <c r="G24" s="80">
        <v>1042</v>
      </c>
      <c r="H24" s="61">
        <f t="shared" si="1"/>
        <v>125.04</v>
      </c>
      <c r="I24" s="21"/>
    </row>
    <row r="25" spans="1:256" s="19" customFormat="1" ht="15.75" x14ac:dyDescent="0.25">
      <c r="A25" s="45">
        <v>269</v>
      </c>
      <c r="B25" s="57">
        <v>100353847332</v>
      </c>
      <c r="C25" s="58" t="s">
        <v>46</v>
      </c>
      <c r="D25" s="83" t="s">
        <v>47</v>
      </c>
      <c r="E25" s="83">
        <v>30</v>
      </c>
      <c r="F25" s="84">
        <v>5500</v>
      </c>
      <c r="G25" s="84">
        <v>5500</v>
      </c>
      <c r="H25" s="61">
        <f t="shared" si="1"/>
        <v>660</v>
      </c>
      <c r="I25" s="21">
        <f t="shared" ref="I25:I53" si="2">G25*12/100</f>
        <v>660</v>
      </c>
    </row>
    <row r="26" spans="1:256" s="19" customFormat="1" ht="15.75" x14ac:dyDescent="0.25">
      <c r="A26" s="45">
        <v>309</v>
      </c>
      <c r="B26" s="57">
        <v>100353888563</v>
      </c>
      <c r="C26" s="58" t="s">
        <v>48</v>
      </c>
      <c r="D26" s="85" t="s">
        <v>48</v>
      </c>
      <c r="E26" s="83">
        <v>30</v>
      </c>
      <c r="F26" s="84">
        <v>5500</v>
      </c>
      <c r="G26" s="84">
        <v>5500</v>
      </c>
      <c r="H26" s="61">
        <f t="shared" si="1"/>
        <v>660</v>
      </c>
      <c r="I26" s="21"/>
    </row>
    <row r="27" spans="1:256" s="19" customFormat="1" ht="15.75" x14ac:dyDescent="0.25">
      <c r="A27" s="45">
        <v>324</v>
      </c>
      <c r="B27" s="57">
        <v>100366458827</v>
      </c>
      <c r="C27" s="58" t="s">
        <v>51</v>
      </c>
      <c r="D27" s="87" t="s">
        <v>52</v>
      </c>
      <c r="E27" s="88">
        <v>30</v>
      </c>
      <c r="F27" s="89">
        <v>5500</v>
      </c>
      <c r="G27" s="89">
        <v>5500</v>
      </c>
      <c r="H27" s="61">
        <f t="shared" si="1"/>
        <v>660</v>
      </c>
      <c r="I27" s="21">
        <f t="shared" si="2"/>
        <v>660</v>
      </c>
    </row>
    <row r="28" spans="1:256" s="19" customFormat="1" ht="26.25" x14ac:dyDescent="0.25">
      <c r="A28" s="45">
        <v>326</v>
      </c>
      <c r="B28" s="57">
        <v>100353855918</v>
      </c>
      <c r="C28" s="58" t="s">
        <v>53</v>
      </c>
      <c r="D28" s="90" t="s">
        <v>54</v>
      </c>
      <c r="E28" s="88">
        <v>30</v>
      </c>
      <c r="F28" s="89">
        <v>5500</v>
      </c>
      <c r="G28" s="89">
        <v>5500</v>
      </c>
      <c r="H28" s="61">
        <f t="shared" si="1"/>
        <v>660</v>
      </c>
      <c r="I28" s="21">
        <f t="shared" si="2"/>
        <v>660</v>
      </c>
    </row>
    <row r="29" spans="1:256" s="19" customFormat="1" ht="15.75" x14ac:dyDescent="0.25">
      <c r="A29" s="45">
        <v>335</v>
      </c>
      <c r="B29" s="57">
        <v>100353697416</v>
      </c>
      <c r="C29" s="58" t="s">
        <v>55</v>
      </c>
      <c r="D29" s="91" t="s">
        <v>56</v>
      </c>
      <c r="E29" s="88">
        <v>30</v>
      </c>
      <c r="F29" s="89">
        <v>1700</v>
      </c>
      <c r="G29" s="89">
        <v>1700</v>
      </c>
      <c r="H29" s="61">
        <f t="shared" si="1"/>
        <v>204</v>
      </c>
      <c r="I29" s="21"/>
    </row>
    <row r="30" spans="1:256" s="19" customFormat="1" ht="15.75" x14ac:dyDescent="0.25">
      <c r="A30" s="45">
        <v>337</v>
      </c>
      <c r="B30" s="57">
        <v>100353650100</v>
      </c>
      <c r="C30" s="58" t="s">
        <v>57</v>
      </c>
      <c r="D30" s="92" t="s">
        <v>58</v>
      </c>
      <c r="E30" s="88">
        <v>30</v>
      </c>
      <c r="F30" s="89">
        <v>5500</v>
      </c>
      <c r="G30" s="89">
        <v>5500</v>
      </c>
      <c r="H30" s="61">
        <f t="shared" si="1"/>
        <v>660</v>
      </c>
      <c r="I30" s="21">
        <f t="shared" si="2"/>
        <v>660</v>
      </c>
    </row>
    <row r="31" spans="1:256" s="19" customFormat="1" ht="15.75" x14ac:dyDescent="0.25">
      <c r="A31" s="45">
        <v>358</v>
      </c>
      <c r="B31" s="57">
        <v>100404638047</v>
      </c>
      <c r="C31" s="58" t="s">
        <v>61</v>
      </c>
      <c r="D31" s="94" t="s">
        <v>62</v>
      </c>
      <c r="E31" s="83">
        <v>30</v>
      </c>
      <c r="F31" s="89">
        <v>2500</v>
      </c>
      <c r="G31" s="89">
        <v>2500</v>
      </c>
      <c r="H31" s="61">
        <f t="shared" si="1"/>
        <v>300</v>
      </c>
      <c r="I31" s="21"/>
    </row>
    <row r="32" spans="1:256" s="19" customFormat="1" ht="15.75" x14ac:dyDescent="0.25">
      <c r="A32" s="45">
        <v>372</v>
      </c>
      <c r="B32" s="57">
        <v>100091836225</v>
      </c>
      <c r="C32" s="58" t="s">
        <v>63</v>
      </c>
      <c r="D32" s="95" t="s">
        <v>64</v>
      </c>
      <c r="E32" s="83">
        <v>30</v>
      </c>
      <c r="F32" s="96">
        <v>5500</v>
      </c>
      <c r="G32" s="96">
        <v>5500</v>
      </c>
      <c r="H32" s="61">
        <f t="shared" si="1"/>
        <v>660</v>
      </c>
      <c r="I32" s="21">
        <f t="shared" si="2"/>
        <v>660</v>
      </c>
    </row>
    <row r="33" spans="1:9" s="19" customFormat="1" ht="15.75" x14ac:dyDescent="0.25">
      <c r="A33" s="45">
        <v>378</v>
      </c>
      <c r="B33" s="57">
        <v>100283282515</v>
      </c>
      <c r="C33" s="58" t="s">
        <v>65</v>
      </c>
      <c r="D33" s="95" t="s">
        <v>65</v>
      </c>
      <c r="E33" s="83">
        <v>30</v>
      </c>
      <c r="F33" s="89">
        <v>5500</v>
      </c>
      <c r="G33" s="89">
        <v>5500</v>
      </c>
      <c r="H33" s="61">
        <f t="shared" si="1"/>
        <v>660</v>
      </c>
      <c r="I33" s="21">
        <f t="shared" si="2"/>
        <v>660</v>
      </c>
    </row>
    <row r="34" spans="1:9" s="19" customFormat="1" ht="15.75" x14ac:dyDescent="0.25">
      <c r="A34" s="45">
        <v>390</v>
      </c>
      <c r="B34" s="57">
        <v>100353938598</v>
      </c>
      <c r="C34" s="58" t="s">
        <v>66</v>
      </c>
      <c r="D34" s="92" t="s">
        <v>67</v>
      </c>
      <c r="E34" s="83">
        <v>30</v>
      </c>
      <c r="F34" s="88">
        <v>5500</v>
      </c>
      <c r="G34" s="88">
        <v>5500</v>
      </c>
      <c r="H34" s="61">
        <f t="shared" si="1"/>
        <v>660</v>
      </c>
      <c r="I34" s="21">
        <f t="shared" si="2"/>
        <v>660</v>
      </c>
    </row>
    <row r="35" spans="1:9" s="19" customFormat="1" ht="15.75" x14ac:dyDescent="0.25">
      <c r="A35" s="45">
        <v>391</v>
      </c>
      <c r="B35" s="57">
        <v>100353855034</v>
      </c>
      <c r="C35" s="58" t="s">
        <v>68</v>
      </c>
      <c r="D35" s="97" t="s">
        <v>69</v>
      </c>
      <c r="E35" s="83">
        <v>30</v>
      </c>
      <c r="F35" s="88">
        <v>3475</v>
      </c>
      <c r="G35" s="88">
        <v>3475</v>
      </c>
      <c r="H35" s="61">
        <f t="shared" si="1"/>
        <v>417</v>
      </c>
      <c r="I35" s="21"/>
    </row>
    <row r="36" spans="1:9" s="19" customFormat="1" ht="15.75" x14ac:dyDescent="0.25">
      <c r="A36" s="45">
        <v>400</v>
      </c>
      <c r="B36" s="57">
        <v>100358397938</v>
      </c>
      <c r="C36" s="58" t="s">
        <v>70</v>
      </c>
      <c r="D36" s="98" t="s">
        <v>71</v>
      </c>
      <c r="E36" s="83">
        <v>30</v>
      </c>
      <c r="F36" s="88">
        <v>5500</v>
      </c>
      <c r="G36" s="88">
        <v>5500</v>
      </c>
      <c r="H36" s="61">
        <f t="shared" si="1"/>
        <v>660</v>
      </c>
      <c r="I36" s="21">
        <f t="shared" si="2"/>
        <v>660</v>
      </c>
    </row>
    <row r="37" spans="1:9" s="19" customFormat="1" ht="18" x14ac:dyDescent="0.25">
      <c r="A37" s="45">
        <v>415</v>
      </c>
      <c r="B37" s="57">
        <v>100358404005</v>
      </c>
      <c r="C37" s="58" t="s">
        <v>72</v>
      </c>
      <c r="D37" s="99" t="s">
        <v>73</v>
      </c>
      <c r="E37" s="83">
        <v>30</v>
      </c>
      <c r="F37" s="88">
        <v>2500</v>
      </c>
      <c r="G37" s="88">
        <v>2500</v>
      </c>
      <c r="H37" s="61">
        <f t="shared" si="1"/>
        <v>300</v>
      </c>
      <c r="I37" s="21"/>
    </row>
    <row r="38" spans="1:9" s="19" customFormat="1" ht="15.75" x14ac:dyDescent="0.25">
      <c r="A38" s="45">
        <v>429</v>
      </c>
      <c r="B38" s="57">
        <v>100140247570</v>
      </c>
      <c r="C38" s="58" t="s">
        <v>74</v>
      </c>
      <c r="D38" s="55" t="s">
        <v>74</v>
      </c>
      <c r="E38" s="83">
        <v>30</v>
      </c>
      <c r="F38" s="88">
        <v>2500</v>
      </c>
      <c r="G38" s="88">
        <v>2500</v>
      </c>
      <c r="H38" s="61">
        <f t="shared" si="1"/>
        <v>300</v>
      </c>
      <c r="I38" s="21"/>
    </row>
    <row r="39" spans="1:9" s="19" customFormat="1" ht="16.5" x14ac:dyDescent="0.25">
      <c r="A39" s="45">
        <v>434</v>
      </c>
      <c r="B39" s="57">
        <v>100353735967</v>
      </c>
      <c r="C39" s="58" t="s">
        <v>75</v>
      </c>
      <c r="D39" s="100" t="s">
        <v>76</v>
      </c>
      <c r="E39" s="83">
        <v>30</v>
      </c>
      <c r="F39" s="54">
        <v>5500</v>
      </c>
      <c r="G39" s="54">
        <v>5500</v>
      </c>
      <c r="H39" s="61">
        <f t="shared" si="1"/>
        <v>660</v>
      </c>
      <c r="I39" s="21">
        <f t="shared" si="2"/>
        <v>660</v>
      </c>
    </row>
    <row r="40" spans="1:9" s="19" customFormat="1" ht="16.5" x14ac:dyDescent="0.25">
      <c r="A40" s="45">
        <v>435</v>
      </c>
      <c r="B40" s="57">
        <v>100358401923</v>
      </c>
      <c r="C40" s="58" t="s">
        <v>77</v>
      </c>
      <c r="D40" s="100" t="s">
        <v>78</v>
      </c>
      <c r="E40" s="83">
        <v>30</v>
      </c>
      <c r="F40" s="54">
        <v>2000</v>
      </c>
      <c r="G40" s="54">
        <v>2000</v>
      </c>
      <c r="H40" s="61">
        <f t="shared" si="1"/>
        <v>240</v>
      </c>
      <c r="I40" s="21">
        <f t="shared" si="2"/>
        <v>240</v>
      </c>
    </row>
    <row r="41" spans="1:9" s="19" customFormat="1" ht="18" x14ac:dyDescent="0.25">
      <c r="A41" s="45">
        <v>443</v>
      </c>
      <c r="B41" s="57">
        <v>100205552698</v>
      </c>
      <c r="C41" s="58" t="s">
        <v>79</v>
      </c>
      <c r="D41" s="101" t="s">
        <v>80</v>
      </c>
      <c r="E41" s="83">
        <v>30</v>
      </c>
      <c r="F41" s="102">
        <v>5500</v>
      </c>
      <c r="G41" s="102">
        <v>5500</v>
      </c>
      <c r="H41" s="61">
        <f t="shared" si="1"/>
        <v>660</v>
      </c>
      <c r="I41" s="21">
        <f t="shared" si="2"/>
        <v>660</v>
      </c>
    </row>
    <row r="42" spans="1:9" s="19" customFormat="1" ht="33" x14ac:dyDescent="0.25">
      <c r="A42" s="45">
        <v>447</v>
      </c>
      <c r="B42" s="57">
        <v>100134159284</v>
      </c>
      <c r="C42" s="58" t="s">
        <v>81</v>
      </c>
      <c r="D42" s="103" t="s">
        <v>81</v>
      </c>
      <c r="E42" s="83">
        <v>30</v>
      </c>
      <c r="F42" s="103">
        <v>5500</v>
      </c>
      <c r="G42" s="103">
        <v>5500</v>
      </c>
      <c r="H42" s="61">
        <f t="shared" si="1"/>
        <v>660</v>
      </c>
      <c r="I42" s="21">
        <f t="shared" si="2"/>
        <v>660</v>
      </c>
    </row>
    <row r="43" spans="1:9" s="19" customFormat="1" ht="15.75" x14ac:dyDescent="0.25">
      <c r="A43" s="45">
        <v>451</v>
      </c>
      <c r="B43" s="57">
        <v>100162007981</v>
      </c>
      <c r="C43" s="58" t="s">
        <v>82</v>
      </c>
      <c r="D43" s="51" t="s">
        <v>83</v>
      </c>
      <c r="E43" s="83">
        <v>30</v>
      </c>
      <c r="F43" s="104">
        <v>3195</v>
      </c>
      <c r="G43" s="104">
        <v>3195</v>
      </c>
      <c r="H43" s="61">
        <f t="shared" si="1"/>
        <v>383.4</v>
      </c>
      <c r="I43" s="21">
        <f t="shared" si="2"/>
        <v>383.4</v>
      </c>
    </row>
    <row r="44" spans="1:9" s="19" customFormat="1" ht="33" x14ac:dyDescent="0.25">
      <c r="A44" s="45">
        <v>455</v>
      </c>
      <c r="B44" s="57">
        <v>100333498650</v>
      </c>
      <c r="C44" s="58" t="s">
        <v>84</v>
      </c>
      <c r="D44" s="120" t="s">
        <v>84</v>
      </c>
      <c r="E44" s="83">
        <v>30</v>
      </c>
      <c r="F44" s="104">
        <v>2500</v>
      </c>
      <c r="G44" s="104">
        <v>2500</v>
      </c>
      <c r="H44" s="61">
        <f t="shared" si="1"/>
        <v>300</v>
      </c>
      <c r="I44" s="21"/>
    </row>
    <row r="45" spans="1:9" s="19" customFormat="1" ht="18" x14ac:dyDescent="0.25">
      <c r="A45" s="45">
        <v>466</v>
      </c>
      <c r="B45" s="57">
        <v>100232175087</v>
      </c>
      <c r="C45" s="58" t="s">
        <v>85</v>
      </c>
      <c r="D45" s="106" t="s">
        <v>86</v>
      </c>
      <c r="E45" s="83">
        <v>30</v>
      </c>
      <c r="F45" s="107">
        <v>3195</v>
      </c>
      <c r="G45" s="107">
        <v>3195</v>
      </c>
      <c r="H45" s="61">
        <f t="shared" si="1"/>
        <v>383.4</v>
      </c>
      <c r="I45" s="21">
        <f t="shared" si="2"/>
        <v>383.4</v>
      </c>
    </row>
    <row r="46" spans="1:9" s="19" customFormat="1" ht="15.75" x14ac:dyDescent="0.25">
      <c r="A46" s="45">
        <v>481</v>
      </c>
      <c r="B46" s="57">
        <v>100358411358</v>
      </c>
      <c r="C46" s="58" t="s">
        <v>88</v>
      </c>
      <c r="D46" s="108" t="s">
        <v>87</v>
      </c>
      <c r="E46" s="83">
        <v>30</v>
      </c>
      <c r="F46" s="109">
        <v>5500</v>
      </c>
      <c r="G46" s="109">
        <v>5500</v>
      </c>
      <c r="H46" s="61">
        <f t="shared" si="1"/>
        <v>660</v>
      </c>
      <c r="I46" s="21">
        <f t="shared" si="2"/>
        <v>660</v>
      </c>
    </row>
    <row r="47" spans="1:9" s="19" customFormat="1" ht="15.75" x14ac:dyDescent="0.25">
      <c r="A47" s="45">
        <v>482</v>
      </c>
      <c r="B47" s="57">
        <v>100353504634</v>
      </c>
      <c r="C47" s="58" t="s">
        <v>90</v>
      </c>
      <c r="D47" s="108" t="s">
        <v>89</v>
      </c>
      <c r="E47" s="83">
        <v>30</v>
      </c>
      <c r="F47" s="109">
        <v>5500</v>
      </c>
      <c r="G47" s="109">
        <v>5500</v>
      </c>
      <c r="H47" s="61">
        <f t="shared" si="1"/>
        <v>660</v>
      </c>
      <c r="I47" s="21">
        <f t="shared" si="2"/>
        <v>660</v>
      </c>
    </row>
    <row r="48" spans="1:9" s="19" customFormat="1" ht="15.75" x14ac:dyDescent="0.25">
      <c r="A48" s="45">
        <v>483</v>
      </c>
      <c r="B48" s="57">
        <v>100353780044</v>
      </c>
      <c r="C48" s="58" t="s">
        <v>92</v>
      </c>
      <c r="D48" s="108" t="s">
        <v>91</v>
      </c>
      <c r="E48" s="83">
        <v>30</v>
      </c>
      <c r="F48" s="109">
        <v>5500</v>
      </c>
      <c r="G48" s="109">
        <v>5500</v>
      </c>
      <c r="H48" s="61">
        <f t="shared" si="1"/>
        <v>660</v>
      </c>
      <c r="I48" s="21">
        <f t="shared" si="2"/>
        <v>660</v>
      </c>
    </row>
    <row r="49" spans="1:9" s="19" customFormat="1" ht="15.75" x14ac:dyDescent="0.25">
      <c r="A49" s="45">
        <v>485</v>
      </c>
      <c r="B49" s="57">
        <v>100236190637</v>
      </c>
      <c r="C49" s="58" t="s">
        <v>94</v>
      </c>
      <c r="D49" s="108" t="s">
        <v>93</v>
      </c>
      <c r="E49" s="83">
        <v>30</v>
      </c>
      <c r="F49" s="109">
        <v>5500</v>
      </c>
      <c r="G49" s="109">
        <v>5500</v>
      </c>
      <c r="H49" s="61">
        <f t="shared" si="1"/>
        <v>660</v>
      </c>
      <c r="I49" s="21">
        <f t="shared" si="2"/>
        <v>660</v>
      </c>
    </row>
    <row r="50" spans="1:9" s="42" customFormat="1" ht="15.75" x14ac:dyDescent="0.25">
      <c r="A50" s="45">
        <v>487</v>
      </c>
      <c r="B50" s="57">
        <v>100358418267</v>
      </c>
      <c r="C50" s="58" t="s">
        <v>96</v>
      </c>
      <c r="D50" s="108" t="s">
        <v>95</v>
      </c>
      <c r="E50" s="83">
        <v>30</v>
      </c>
      <c r="F50" s="109">
        <v>3475</v>
      </c>
      <c r="G50" s="109">
        <v>3475</v>
      </c>
      <c r="H50" s="61">
        <f t="shared" si="1"/>
        <v>417</v>
      </c>
      <c r="I50" s="21">
        <f t="shared" si="2"/>
        <v>417</v>
      </c>
    </row>
    <row r="51" spans="1:9" s="19" customFormat="1" ht="15.75" x14ac:dyDescent="0.25">
      <c r="A51" s="45">
        <v>491</v>
      </c>
      <c r="B51" s="57">
        <v>100353509071</v>
      </c>
      <c r="C51" s="58" t="s">
        <v>97</v>
      </c>
      <c r="D51" s="58" t="s">
        <v>97</v>
      </c>
      <c r="E51" s="83">
        <v>30</v>
      </c>
      <c r="F51" s="110">
        <v>3195</v>
      </c>
      <c r="G51" s="110">
        <v>3195</v>
      </c>
      <c r="H51" s="61">
        <f t="shared" si="1"/>
        <v>383.4</v>
      </c>
      <c r="I51" s="21">
        <f t="shared" si="2"/>
        <v>383.4</v>
      </c>
    </row>
    <row r="52" spans="1:9" s="19" customFormat="1" ht="15.75" x14ac:dyDescent="0.25">
      <c r="A52" s="45">
        <v>492</v>
      </c>
      <c r="B52" s="57">
        <v>100353508759</v>
      </c>
      <c r="C52" s="58" t="s">
        <v>98</v>
      </c>
      <c r="D52" s="58" t="s">
        <v>98</v>
      </c>
      <c r="E52" s="83">
        <v>30</v>
      </c>
      <c r="F52" s="110">
        <v>3195</v>
      </c>
      <c r="G52" s="110">
        <v>3195</v>
      </c>
      <c r="H52" s="61">
        <f t="shared" si="1"/>
        <v>383.4</v>
      </c>
      <c r="I52" s="21">
        <f t="shared" si="2"/>
        <v>383.4</v>
      </c>
    </row>
    <row r="53" spans="1:9" s="19" customFormat="1" ht="15.75" x14ac:dyDescent="0.25">
      <c r="A53" s="45">
        <v>493</v>
      </c>
      <c r="B53" s="57">
        <v>100353509419</v>
      </c>
      <c r="C53" s="58" t="s">
        <v>99</v>
      </c>
      <c r="D53" s="58" t="s">
        <v>99</v>
      </c>
      <c r="E53" s="83">
        <v>30</v>
      </c>
      <c r="F53" s="110">
        <v>3195</v>
      </c>
      <c r="G53" s="110">
        <v>3195</v>
      </c>
      <c r="H53" s="61">
        <f t="shared" si="1"/>
        <v>383.4</v>
      </c>
      <c r="I53" s="21">
        <f t="shared" si="2"/>
        <v>383.4</v>
      </c>
    </row>
    <row r="54" spans="1:9" s="19" customFormat="1" ht="15.75" x14ac:dyDescent="0.25">
      <c r="A54" s="45">
        <v>496</v>
      </c>
      <c r="B54" s="57">
        <v>100353505607</v>
      </c>
      <c r="C54" s="58" t="s">
        <v>100</v>
      </c>
      <c r="D54" s="58" t="s">
        <v>100</v>
      </c>
      <c r="E54" s="83">
        <v>30</v>
      </c>
      <c r="F54" s="110">
        <v>2000</v>
      </c>
      <c r="G54" s="110">
        <v>2000</v>
      </c>
      <c r="H54" s="61">
        <f t="shared" si="1"/>
        <v>240</v>
      </c>
      <c r="I54" s="21">
        <f>G54*12/100</f>
        <v>240</v>
      </c>
    </row>
    <row r="55" spans="1:9" s="19" customFormat="1" ht="15.75" x14ac:dyDescent="0.25">
      <c r="A55" s="45">
        <v>498</v>
      </c>
      <c r="B55" s="57">
        <v>100353509092</v>
      </c>
      <c r="C55" s="58" t="s">
        <v>101</v>
      </c>
      <c r="D55" s="58" t="s">
        <v>101</v>
      </c>
      <c r="E55" s="83">
        <v>30</v>
      </c>
      <c r="F55" s="110">
        <v>3195</v>
      </c>
      <c r="G55" s="110">
        <v>3195</v>
      </c>
      <c r="H55" s="61">
        <f t="shared" si="1"/>
        <v>383.4</v>
      </c>
      <c r="I55" s="21">
        <f>G55*12/100</f>
        <v>383.4</v>
      </c>
    </row>
    <row r="56" spans="1:9" s="19" customFormat="1" ht="15.75" x14ac:dyDescent="0.25">
      <c r="A56" s="45">
        <v>528</v>
      </c>
      <c r="B56" s="57">
        <v>100353982087</v>
      </c>
      <c r="C56" s="58" t="s">
        <v>102</v>
      </c>
      <c r="D56" s="111" t="s">
        <v>103</v>
      </c>
      <c r="E56" s="83">
        <v>30</v>
      </c>
      <c r="F56" s="110">
        <v>2500</v>
      </c>
      <c r="G56" s="110">
        <v>2500</v>
      </c>
      <c r="H56" s="61">
        <f t="shared" si="1"/>
        <v>300</v>
      </c>
      <c r="I56" s="21"/>
    </row>
    <row r="57" spans="1:9" s="19" customFormat="1" ht="15.75" x14ac:dyDescent="0.25">
      <c r="A57" s="45">
        <v>564</v>
      </c>
      <c r="B57" s="57">
        <v>100358576652</v>
      </c>
      <c r="C57" s="58" t="s">
        <v>104</v>
      </c>
      <c r="D57" s="86" t="s">
        <v>105</v>
      </c>
      <c r="E57" s="83">
        <v>30</v>
      </c>
      <c r="F57" s="112">
        <v>5500</v>
      </c>
      <c r="G57" s="112">
        <v>5500</v>
      </c>
      <c r="H57" s="61">
        <f t="shared" si="1"/>
        <v>660</v>
      </c>
      <c r="I57" s="21" t="e">
        <f>#REF!*12/100</f>
        <v>#REF!</v>
      </c>
    </row>
    <row r="58" spans="1:9" ht="29.25" customHeight="1" x14ac:dyDescent="0.25">
      <c r="A58" s="24"/>
      <c r="B58" s="25"/>
      <c r="C58" s="9"/>
      <c r="D58" s="31"/>
      <c r="E58" s="9"/>
      <c r="F58" s="56">
        <f>SUM(F3:F57)</f>
        <v>227677</v>
      </c>
      <c r="G58" s="56">
        <f>SUM(G3:G57)</f>
        <v>227677</v>
      </c>
      <c r="H58" s="56">
        <f>SUM(H3:H57)</f>
        <v>27321.240000000009</v>
      </c>
      <c r="I58" s="23"/>
    </row>
    <row r="59" spans="1:9" ht="17.25" x14ac:dyDescent="0.25">
      <c r="A59" s="24"/>
      <c r="B59" s="25"/>
      <c r="C59" s="26"/>
      <c r="D59" s="26"/>
      <c r="E59" s="27"/>
      <c r="F59" s="28"/>
      <c r="G59" s="29"/>
      <c r="H59" s="29"/>
      <c r="I59" s="23"/>
    </row>
    <row r="61" spans="1:9" x14ac:dyDescent="0.25">
      <c r="H61" s="36"/>
      <c r="I61" s="37"/>
    </row>
    <row r="62" spans="1:9" x14ac:dyDescent="0.25">
      <c r="A62" s="44"/>
      <c r="B62" s="16"/>
      <c r="C62" s="17"/>
      <c r="D62" s="53"/>
      <c r="E62" s="47"/>
    </row>
    <row r="63" spans="1:9" x14ac:dyDescent="0.25">
      <c r="I63" s="38"/>
    </row>
    <row r="65" spans="1:14" x14ac:dyDescent="0.25">
      <c r="F65" s="39"/>
      <c r="G65" s="39"/>
      <c r="I65" s="38"/>
    </row>
    <row r="67" spans="1:14" x14ac:dyDescent="0.25">
      <c r="F67" s="39"/>
    </row>
    <row r="68" spans="1:14" x14ac:dyDescent="0.25">
      <c r="F68" s="39"/>
    </row>
    <row r="69" spans="1:14" x14ac:dyDescent="0.25">
      <c r="G69" s="39"/>
    </row>
    <row r="70" spans="1:14" x14ac:dyDescent="0.25">
      <c r="F70" s="40"/>
      <c r="G70" s="40"/>
      <c r="I70" s="23"/>
    </row>
    <row r="71" spans="1:14" x14ac:dyDescent="0.25">
      <c r="F71" s="40"/>
      <c r="G71" s="41"/>
    </row>
    <row r="72" spans="1:14" x14ac:dyDescent="0.25">
      <c r="F72" s="40"/>
      <c r="G72" s="40"/>
      <c r="I72" s="23"/>
    </row>
    <row r="73" spans="1:14" ht="25.5" x14ac:dyDescent="0.25">
      <c r="A73" s="18" t="s">
        <v>106</v>
      </c>
      <c r="B73" s="20">
        <v>19250</v>
      </c>
      <c r="C73" s="20">
        <v>13960</v>
      </c>
      <c r="D73" s="20">
        <v>1800</v>
      </c>
      <c r="E73" s="30"/>
      <c r="F73" s="31"/>
      <c r="G73" s="31"/>
      <c r="H73" s="31"/>
      <c r="I73" s="32"/>
      <c r="J73" s="33"/>
      <c r="K73" s="40"/>
      <c r="L73" s="40"/>
      <c r="M73" s="35"/>
      <c r="N73" s="22"/>
    </row>
    <row r="75" spans="1:14" x14ac:dyDescent="0.25">
      <c r="E75" s="33">
        <v>42983</v>
      </c>
      <c r="F75" s="34">
        <v>17783</v>
      </c>
      <c r="G75" s="34">
        <f>E75-F75</f>
        <v>25200</v>
      </c>
    </row>
    <row r="76" spans="1:14" x14ac:dyDescent="0.25">
      <c r="G76" s="34">
        <v>18114</v>
      </c>
    </row>
    <row r="77" spans="1:14" x14ac:dyDescent="0.25">
      <c r="G77" s="34">
        <f>SUM(G75:G76)</f>
        <v>43314</v>
      </c>
      <c r="H77" s="35">
        <v>42728</v>
      </c>
      <c r="I77" s="22">
        <f>G77-H77</f>
        <v>586</v>
      </c>
    </row>
    <row r="81" spans="2:9" s="30" customFormat="1" x14ac:dyDescent="0.25">
      <c r="B81" s="31"/>
      <c r="C81" s="31"/>
      <c r="D81" s="32"/>
      <c r="E81" s="33"/>
      <c r="F81" s="34"/>
      <c r="G81" s="34"/>
      <c r="H81" s="35"/>
      <c r="I81" s="22"/>
    </row>
    <row r="112" spans="2:9" s="30" customFormat="1" x14ac:dyDescent="0.25">
      <c r="B112" s="31"/>
      <c r="C112" s="31"/>
      <c r="D112" s="32"/>
      <c r="E112" s="33"/>
      <c r="F112" s="34"/>
      <c r="G112" s="34"/>
      <c r="H112" s="35"/>
      <c r="I112" s="22"/>
    </row>
    <row r="167" spans="2:9" s="30" customFormat="1" x14ac:dyDescent="0.25">
      <c r="B167" s="31"/>
      <c r="C167" s="31"/>
      <c r="D167" s="32"/>
      <c r="E167" s="33"/>
      <c r="F167" s="34"/>
      <c r="G167" s="34"/>
      <c r="H167" s="35"/>
      <c r="I167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70"/>
  <sheetViews>
    <sheetView workbookViewId="0">
      <selection activeCell="D61" sqref="D61"/>
    </sheetView>
  </sheetViews>
  <sheetFormatPr defaultRowHeight="18.75" x14ac:dyDescent="0.25"/>
  <cols>
    <col min="1" max="1" width="9.140625" style="30"/>
    <col min="2" max="2" width="19.8554687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5703125" style="35" bestFit="1" customWidth="1"/>
    <col min="9" max="9" width="9.140625" style="22"/>
    <col min="10" max="16384" width="9.140625" style="9"/>
  </cols>
  <sheetData>
    <row r="1" spans="1:9" x14ac:dyDescent="0.25">
      <c r="A1" s="1">
        <v>39722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>G3*12/100</f>
        <v>660</v>
      </c>
      <c r="I3" s="21">
        <f t="shared" ref="I3:I22" si="0">G3*12/100</f>
        <v>660</v>
      </c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5500</v>
      </c>
      <c r="G4" s="61">
        <v>5500</v>
      </c>
      <c r="H4" s="61">
        <f t="shared" ref="H4:H60" si="1">G4*12/100</f>
        <v>660</v>
      </c>
      <c r="I4" s="21">
        <f t="shared" si="0"/>
        <v>660</v>
      </c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2500</v>
      </c>
      <c r="G5" s="62">
        <v>2500</v>
      </c>
      <c r="H5" s="61">
        <f t="shared" si="1"/>
        <v>300</v>
      </c>
      <c r="I5" s="21">
        <f t="shared" si="0"/>
        <v>300</v>
      </c>
    </row>
    <row r="6" spans="1:9" s="19" customFormat="1" ht="15.75" x14ac:dyDescent="0.25">
      <c r="A6" s="45">
        <v>38</v>
      </c>
      <c r="B6" s="57">
        <v>100217136235</v>
      </c>
      <c r="C6" s="58" t="s">
        <v>13</v>
      </c>
      <c r="D6" s="63" t="s">
        <v>14</v>
      </c>
      <c r="E6" s="59">
        <v>30</v>
      </c>
      <c r="F6" s="62">
        <v>2500</v>
      </c>
      <c r="G6" s="62">
        <v>2500</v>
      </c>
      <c r="H6" s="61">
        <f t="shared" si="1"/>
        <v>300</v>
      </c>
      <c r="I6" s="21"/>
    </row>
    <row r="7" spans="1:9" s="19" customFormat="1" ht="25.5" x14ac:dyDescent="0.25">
      <c r="A7" s="45">
        <v>50</v>
      </c>
      <c r="B7" s="57">
        <v>100253724762</v>
      </c>
      <c r="C7" s="58" t="s">
        <v>15</v>
      </c>
      <c r="D7" s="64" t="s">
        <v>16</v>
      </c>
      <c r="E7" s="65">
        <v>30</v>
      </c>
      <c r="F7" s="64">
        <v>5500</v>
      </c>
      <c r="G7" s="64">
        <v>5500</v>
      </c>
      <c r="H7" s="61">
        <f t="shared" si="1"/>
        <v>660</v>
      </c>
      <c r="I7" s="21">
        <f t="shared" si="0"/>
        <v>660</v>
      </c>
    </row>
    <row r="8" spans="1:9" s="19" customFormat="1" ht="15.75" x14ac:dyDescent="0.25">
      <c r="A8" s="45">
        <v>72</v>
      </c>
      <c r="B8" s="57">
        <v>100357142484</v>
      </c>
      <c r="C8" s="58" t="s">
        <v>17</v>
      </c>
      <c r="D8" s="66" t="s">
        <v>17</v>
      </c>
      <c r="E8" s="65">
        <v>30</v>
      </c>
      <c r="F8" s="64">
        <v>2500</v>
      </c>
      <c r="G8" s="64">
        <v>2500</v>
      </c>
      <c r="H8" s="61">
        <f t="shared" si="1"/>
        <v>300</v>
      </c>
      <c r="I8" s="21"/>
    </row>
    <row r="9" spans="1:9" s="19" customFormat="1" ht="15.75" x14ac:dyDescent="0.25">
      <c r="A9" s="45">
        <v>82</v>
      </c>
      <c r="B9" s="57">
        <v>100337411384</v>
      </c>
      <c r="C9" s="58" t="s">
        <v>18</v>
      </c>
      <c r="D9" s="67" t="s">
        <v>18</v>
      </c>
      <c r="E9" s="65">
        <v>29</v>
      </c>
      <c r="F9" s="64">
        <v>3195</v>
      </c>
      <c r="G9" s="64">
        <v>3195</v>
      </c>
      <c r="H9" s="61">
        <f t="shared" si="1"/>
        <v>383.4</v>
      </c>
      <c r="I9" s="21">
        <f t="shared" si="0"/>
        <v>383.4</v>
      </c>
    </row>
    <row r="10" spans="1:9" s="19" customFormat="1" ht="15.75" x14ac:dyDescent="0.25">
      <c r="A10" s="45">
        <v>96</v>
      </c>
      <c r="B10" s="57">
        <v>100071591724</v>
      </c>
      <c r="C10" s="58" t="s">
        <v>21</v>
      </c>
      <c r="D10" s="65" t="s">
        <v>21</v>
      </c>
      <c r="E10" s="65">
        <v>30</v>
      </c>
      <c r="F10" s="64">
        <v>5500</v>
      </c>
      <c r="G10" s="64">
        <v>5500</v>
      </c>
      <c r="H10" s="61">
        <f t="shared" si="1"/>
        <v>660</v>
      </c>
      <c r="I10" s="21">
        <f t="shared" si="0"/>
        <v>660</v>
      </c>
    </row>
    <row r="11" spans="1:9" s="19" customFormat="1" ht="15.75" x14ac:dyDescent="0.25">
      <c r="A11" s="45">
        <v>104</v>
      </c>
      <c r="B11" s="57">
        <v>100373767209</v>
      </c>
      <c r="C11" s="58" t="s">
        <v>22</v>
      </c>
      <c r="D11" s="68" t="s">
        <v>23</v>
      </c>
      <c r="E11" s="65">
        <v>30</v>
      </c>
      <c r="F11" s="64">
        <v>2500</v>
      </c>
      <c r="G11" s="64">
        <v>2500</v>
      </c>
      <c r="H11" s="61">
        <f t="shared" si="1"/>
        <v>300</v>
      </c>
      <c r="I11" s="21"/>
    </row>
    <row r="12" spans="1:9" s="19" customFormat="1" ht="15.75" x14ac:dyDescent="0.25">
      <c r="A12" s="45">
        <v>112</v>
      </c>
      <c r="B12" s="57">
        <v>100353622159</v>
      </c>
      <c r="C12" s="58" t="s">
        <v>24</v>
      </c>
      <c r="D12" s="65" t="s">
        <v>25</v>
      </c>
      <c r="E12" s="48">
        <v>30</v>
      </c>
      <c r="F12" s="48">
        <v>5500</v>
      </c>
      <c r="G12" s="48">
        <v>5500</v>
      </c>
      <c r="H12" s="61">
        <f t="shared" si="1"/>
        <v>660</v>
      </c>
      <c r="I12" s="21">
        <f t="shared" si="0"/>
        <v>660</v>
      </c>
    </row>
    <row r="13" spans="1:9" s="19" customFormat="1" ht="15.75" x14ac:dyDescent="0.25">
      <c r="A13" s="45">
        <v>126</v>
      </c>
      <c r="B13" s="57">
        <v>100358535750</v>
      </c>
      <c r="C13" s="58" t="s">
        <v>26</v>
      </c>
      <c r="D13" s="51" t="s">
        <v>27</v>
      </c>
      <c r="E13" s="69">
        <v>30</v>
      </c>
      <c r="F13" s="69">
        <v>5500</v>
      </c>
      <c r="G13" s="69">
        <v>5500</v>
      </c>
      <c r="H13" s="61">
        <f t="shared" si="1"/>
        <v>660</v>
      </c>
      <c r="I13" s="21">
        <f t="shared" si="0"/>
        <v>660</v>
      </c>
    </row>
    <row r="14" spans="1:9" s="19" customFormat="1" ht="15.75" x14ac:dyDescent="0.25">
      <c r="A14" s="45">
        <v>134</v>
      </c>
      <c r="B14" s="57">
        <v>100084707366</v>
      </c>
      <c r="C14" s="58" t="s">
        <v>28</v>
      </c>
      <c r="D14" s="71" t="s">
        <v>28</v>
      </c>
      <c r="E14" s="48">
        <v>30</v>
      </c>
      <c r="F14" s="71">
        <v>3620</v>
      </c>
      <c r="G14" s="71">
        <v>3620</v>
      </c>
      <c r="H14" s="61">
        <f t="shared" si="1"/>
        <v>434.4</v>
      </c>
      <c r="I14" s="21">
        <f t="shared" si="0"/>
        <v>434.4</v>
      </c>
    </row>
    <row r="15" spans="1:9" s="19" customFormat="1" ht="15.75" x14ac:dyDescent="0.25">
      <c r="A15" s="45">
        <v>136</v>
      </c>
      <c r="B15" s="57">
        <v>100167059875</v>
      </c>
      <c r="C15" s="58" t="s">
        <v>29</v>
      </c>
      <c r="D15" s="65" t="s">
        <v>30</v>
      </c>
      <c r="E15" s="48">
        <v>30</v>
      </c>
      <c r="F15" s="49">
        <v>5500</v>
      </c>
      <c r="G15" s="49">
        <v>5500</v>
      </c>
      <c r="H15" s="61">
        <f t="shared" si="1"/>
        <v>660</v>
      </c>
      <c r="I15" s="21">
        <f t="shared" si="0"/>
        <v>660</v>
      </c>
    </row>
    <row r="16" spans="1:9" s="19" customFormat="1" ht="15.75" x14ac:dyDescent="0.25">
      <c r="A16" s="45">
        <v>149</v>
      </c>
      <c r="B16" s="57">
        <v>100333985226</v>
      </c>
      <c r="C16" s="58" t="s">
        <v>31</v>
      </c>
      <c r="D16" s="51" t="s">
        <v>32</v>
      </c>
      <c r="E16" s="72">
        <v>30</v>
      </c>
      <c r="F16" s="72">
        <v>2000</v>
      </c>
      <c r="G16" s="72">
        <v>2000</v>
      </c>
      <c r="H16" s="61">
        <f t="shared" si="1"/>
        <v>240</v>
      </c>
      <c r="I16" s="21">
        <f t="shared" si="0"/>
        <v>240</v>
      </c>
    </row>
    <row r="17" spans="1:256" s="19" customFormat="1" ht="15.75" x14ac:dyDescent="0.25">
      <c r="A17" s="45">
        <v>169</v>
      </c>
      <c r="B17" s="57">
        <v>100112097052</v>
      </c>
      <c r="C17" s="58" t="s">
        <v>116</v>
      </c>
      <c r="D17" s="73" t="s">
        <v>117</v>
      </c>
      <c r="E17" s="60">
        <v>30</v>
      </c>
      <c r="F17" s="74">
        <v>5500</v>
      </c>
      <c r="G17" s="74">
        <v>5500</v>
      </c>
      <c r="H17" s="61">
        <f t="shared" si="1"/>
        <v>660</v>
      </c>
      <c r="I17" s="21"/>
    </row>
    <row r="18" spans="1:256" s="19" customFormat="1" ht="15.75" x14ac:dyDescent="0.25">
      <c r="A18" s="45">
        <v>186</v>
      </c>
      <c r="B18" s="57">
        <v>100353962659</v>
      </c>
      <c r="C18" s="58" t="s">
        <v>118</v>
      </c>
      <c r="D18" s="51" t="s">
        <v>119</v>
      </c>
      <c r="E18" s="72">
        <v>30</v>
      </c>
      <c r="F18" s="72">
        <v>1000</v>
      </c>
      <c r="G18" s="72">
        <v>1000</v>
      </c>
      <c r="H18" s="61">
        <f t="shared" si="1"/>
        <v>120</v>
      </c>
      <c r="I18" s="21"/>
    </row>
    <row r="19" spans="1:256" s="19" customFormat="1" ht="15.75" x14ac:dyDescent="0.25">
      <c r="A19" s="45">
        <v>191</v>
      </c>
      <c r="B19" s="57">
        <v>100094359606</v>
      </c>
      <c r="C19" s="58" t="s">
        <v>33</v>
      </c>
      <c r="D19" s="75" t="s">
        <v>33</v>
      </c>
      <c r="E19" s="75">
        <v>30</v>
      </c>
      <c r="F19" s="75">
        <v>2500</v>
      </c>
      <c r="G19" s="75">
        <v>2500</v>
      </c>
      <c r="H19" s="61">
        <f t="shared" si="1"/>
        <v>300</v>
      </c>
      <c r="I19" s="21">
        <f t="shared" si="0"/>
        <v>300</v>
      </c>
    </row>
    <row r="20" spans="1:256" s="19" customFormat="1" ht="15.75" x14ac:dyDescent="0.25">
      <c r="A20" s="45">
        <v>195</v>
      </c>
      <c r="B20" s="57">
        <v>100235466823</v>
      </c>
      <c r="C20" s="58" t="s">
        <v>34</v>
      </c>
      <c r="D20" s="75" t="s">
        <v>35</v>
      </c>
      <c r="E20" s="75">
        <v>30</v>
      </c>
      <c r="F20" s="75">
        <v>5500</v>
      </c>
      <c r="G20" s="75">
        <v>5500</v>
      </c>
      <c r="H20" s="61">
        <f t="shared" si="1"/>
        <v>660</v>
      </c>
      <c r="I20" s="21">
        <f t="shared" si="0"/>
        <v>660</v>
      </c>
    </row>
    <row r="21" spans="1:256" s="19" customFormat="1" ht="16.5" customHeight="1" x14ac:dyDescent="0.25">
      <c r="A21" s="45">
        <v>199</v>
      </c>
      <c r="B21" s="57">
        <v>100232183759</v>
      </c>
      <c r="C21" s="58" t="s">
        <v>36</v>
      </c>
      <c r="D21" s="76" t="s">
        <v>36</v>
      </c>
      <c r="E21" s="45">
        <v>30</v>
      </c>
      <c r="F21" s="57">
        <v>3000</v>
      </c>
      <c r="G21" s="57">
        <v>3000</v>
      </c>
      <c r="H21" s="61">
        <f t="shared" si="1"/>
        <v>360</v>
      </c>
      <c r="I21" s="44"/>
      <c r="J21" s="16"/>
      <c r="K21" s="17"/>
      <c r="L21" s="52"/>
      <c r="M21" s="44"/>
      <c r="N21" s="16"/>
      <c r="O21" s="17"/>
      <c r="P21" s="52"/>
      <c r="Q21" s="44"/>
      <c r="R21" s="16"/>
      <c r="S21" s="17"/>
      <c r="T21" s="52"/>
      <c r="U21" s="44"/>
      <c r="V21" s="16"/>
      <c r="W21" s="17"/>
      <c r="X21" s="52"/>
      <c r="Y21" s="44"/>
      <c r="Z21" s="16"/>
      <c r="AA21" s="17"/>
      <c r="AB21" s="52"/>
      <c r="AC21" s="44"/>
      <c r="AD21" s="16"/>
      <c r="AE21" s="17"/>
      <c r="AF21" s="52"/>
      <c r="AG21" s="44"/>
      <c r="AH21" s="16"/>
      <c r="AI21" s="17"/>
      <c r="AJ21" s="52"/>
      <c r="AK21" s="44"/>
      <c r="AL21" s="16"/>
      <c r="AM21" s="17"/>
      <c r="AN21" s="52"/>
      <c r="AO21" s="44"/>
      <c r="AP21" s="16"/>
      <c r="AQ21" s="17"/>
      <c r="AR21" s="52"/>
      <c r="AS21" s="44"/>
      <c r="AT21" s="16"/>
      <c r="AU21" s="17"/>
      <c r="AV21" s="52"/>
      <c r="AW21" s="44"/>
      <c r="AX21" s="16"/>
      <c r="AY21" s="17"/>
      <c r="AZ21" s="52"/>
      <c r="BA21" s="44"/>
      <c r="BB21" s="16"/>
      <c r="BC21" s="17"/>
      <c r="BD21" s="52"/>
      <c r="BE21" s="44"/>
      <c r="BF21" s="16"/>
      <c r="BG21" s="17"/>
      <c r="BH21" s="52"/>
      <c r="BI21" s="44"/>
      <c r="BJ21" s="16"/>
      <c r="BK21" s="17"/>
      <c r="BL21" s="52"/>
      <c r="BM21" s="44"/>
      <c r="BN21" s="16"/>
      <c r="BO21" s="17"/>
      <c r="BP21" s="52"/>
      <c r="BQ21" s="44"/>
      <c r="BR21" s="16"/>
      <c r="BS21" s="17"/>
      <c r="BT21" s="52"/>
      <c r="BU21" s="44"/>
      <c r="BV21" s="16"/>
      <c r="BW21" s="17"/>
      <c r="BX21" s="52"/>
      <c r="BY21" s="44"/>
      <c r="BZ21" s="16"/>
      <c r="CA21" s="17"/>
      <c r="CB21" s="52"/>
      <c r="CC21" s="44">
        <v>199</v>
      </c>
      <c r="CD21" s="16">
        <v>100232183759</v>
      </c>
      <c r="CE21" s="17" t="s">
        <v>36</v>
      </c>
      <c r="CF21" s="52" t="s">
        <v>36</v>
      </c>
      <c r="CG21" s="44">
        <v>199</v>
      </c>
      <c r="CH21" s="16">
        <v>100232183759</v>
      </c>
      <c r="CI21" s="17" t="s">
        <v>36</v>
      </c>
      <c r="CJ21" s="52" t="s">
        <v>36</v>
      </c>
      <c r="CK21" s="44">
        <v>199</v>
      </c>
      <c r="CL21" s="16">
        <v>100232183759</v>
      </c>
      <c r="CM21" s="17" t="s">
        <v>36</v>
      </c>
      <c r="CN21" s="52" t="s">
        <v>36</v>
      </c>
      <c r="CO21" s="44">
        <v>199</v>
      </c>
      <c r="CP21" s="16">
        <v>100232183759</v>
      </c>
      <c r="CQ21" s="17" t="s">
        <v>36</v>
      </c>
      <c r="CR21" s="52" t="s">
        <v>36</v>
      </c>
      <c r="CS21" s="44">
        <v>199</v>
      </c>
      <c r="CT21" s="16">
        <v>100232183759</v>
      </c>
      <c r="CU21" s="17" t="s">
        <v>36</v>
      </c>
      <c r="CV21" s="52" t="s">
        <v>36</v>
      </c>
      <c r="CW21" s="44">
        <v>199</v>
      </c>
      <c r="CX21" s="16">
        <v>100232183759</v>
      </c>
      <c r="CY21" s="17" t="s">
        <v>36</v>
      </c>
      <c r="CZ21" s="52" t="s">
        <v>36</v>
      </c>
      <c r="DA21" s="44">
        <v>199</v>
      </c>
      <c r="DB21" s="16">
        <v>100232183759</v>
      </c>
      <c r="DC21" s="17" t="s">
        <v>36</v>
      </c>
      <c r="DD21" s="52" t="s">
        <v>36</v>
      </c>
      <c r="DE21" s="44">
        <v>199</v>
      </c>
      <c r="DF21" s="16">
        <v>100232183759</v>
      </c>
      <c r="DG21" s="17" t="s">
        <v>36</v>
      </c>
      <c r="DH21" s="52" t="s">
        <v>36</v>
      </c>
      <c r="DI21" s="44">
        <v>199</v>
      </c>
      <c r="DJ21" s="16">
        <v>100232183759</v>
      </c>
      <c r="DK21" s="17" t="s">
        <v>36</v>
      </c>
      <c r="DL21" s="52" t="s">
        <v>36</v>
      </c>
      <c r="DM21" s="44">
        <v>199</v>
      </c>
      <c r="DN21" s="16">
        <v>100232183759</v>
      </c>
      <c r="DO21" s="17" t="s">
        <v>36</v>
      </c>
      <c r="DP21" s="52" t="s">
        <v>36</v>
      </c>
      <c r="DQ21" s="44">
        <v>199</v>
      </c>
      <c r="DR21" s="16">
        <v>100232183759</v>
      </c>
      <c r="DS21" s="17" t="s">
        <v>36</v>
      </c>
      <c r="DT21" s="52" t="s">
        <v>36</v>
      </c>
      <c r="DU21" s="44">
        <v>199</v>
      </c>
      <c r="DV21" s="16">
        <v>100232183759</v>
      </c>
      <c r="DW21" s="17" t="s">
        <v>36</v>
      </c>
      <c r="DX21" s="52" t="s">
        <v>36</v>
      </c>
      <c r="DY21" s="44">
        <v>199</v>
      </c>
      <c r="DZ21" s="16">
        <v>100232183759</v>
      </c>
      <c r="EA21" s="17" t="s">
        <v>36</v>
      </c>
      <c r="EB21" s="52" t="s">
        <v>36</v>
      </c>
      <c r="EC21" s="44">
        <v>199</v>
      </c>
      <c r="ED21" s="16">
        <v>100232183759</v>
      </c>
      <c r="EE21" s="17" t="s">
        <v>36</v>
      </c>
      <c r="EF21" s="52" t="s">
        <v>36</v>
      </c>
      <c r="EG21" s="44">
        <v>199</v>
      </c>
      <c r="EH21" s="16">
        <v>100232183759</v>
      </c>
      <c r="EI21" s="17" t="s">
        <v>36</v>
      </c>
      <c r="EJ21" s="52" t="s">
        <v>36</v>
      </c>
      <c r="EK21" s="44">
        <v>199</v>
      </c>
      <c r="EL21" s="16">
        <v>100232183759</v>
      </c>
      <c r="EM21" s="17" t="s">
        <v>36</v>
      </c>
      <c r="EN21" s="52" t="s">
        <v>36</v>
      </c>
      <c r="EO21" s="44">
        <v>199</v>
      </c>
      <c r="EP21" s="16">
        <v>100232183759</v>
      </c>
      <c r="EQ21" s="17" t="s">
        <v>36</v>
      </c>
      <c r="ER21" s="52" t="s">
        <v>36</v>
      </c>
      <c r="ES21" s="44">
        <v>199</v>
      </c>
      <c r="ET21" s="16">
        <v>100232183759</v>
      </c>
      <c r="EU21" s="17" t="s">
        <v>36</v>
      </c>
      <c r="EV21" s="52" t="s">
        <v>36</v>
      </c>
      <c r="EW21" s="44">
        <v>199</v>
      </c>
      <c r="EX21" s="16">
        <v>100232183759</v>
      </c>
      <c r="EY21" s="17" t="s">
        <v>36</v>
      </c>
      <c r="EZ21" s="52" t="s">
        <v>36</v>
      </c>
      <c r="FA21" s="44">
        <v>199</v>
      </c>
      <c r="FB21" s="16">
        <v>100232183759</v>
      </c>
      <c r="FC21" s="17" t="s">
        <v>36</v>
      </c>
      <c r="FD21" s="52" t="s">
        <v>36</v>
      </c>
      <c r="FE21" s="44">
        <v>199</v>
      </c>
      <c r="FF21" s="16">
        <v>100232183759</v>
      </c>
      <c r="FG21" s="17" t="s">
        <v>36</v>
      </c>
      <c r="FH21" s="52" t="s">
        <v>36</v>
      </c>
      <c r="FI21" s="44">
        <v>199</v>
      </c>
      <c r="FJ21" s="16">
        <v>100232183759</v>
      </c>
      <c r="FK21" s="17" t="s">
        <v>36</v>
      </c>
      <c r="FL21" s="52" t="s">
        <v>36</v>
      </c>
      <c r="FM21" s="44">
        <v>199</v>
      </c>
      <c r="FN21" s="16">
        <v>100232183759</v>
      </c>
      <c r="FO21" s="17" t="s">
        <v>36</v>
      </c>
      <c r="FP21" s="52" t="s">
        <v>36</v>
      </c>
      <c r="FQ21" s="44">
        <v>199</v>
      </c>
      <c r="FR21" s="16">
        <v>100232183759</v>
      </c>
      <c r="FS21" s="17" t="s">
        <v>36</v>
      </c>
      <c r="FT21" s="52" t="s">
        <v>36</v>
      </c>
      <c r="FU21" s="44">
        <v>199</v>
      </c>
      <c r="FV21" s="16">
        <v>100232183759</v>
      </c>
      <c r="FW21" s="17" t="s">
        <v>36</v>
      </c>
      <c r="FX21" s="52" t="s">
        <v>36</v>
      </c>
      <c r="FY21" s="44">
        <v>199</v>
      </c>
      <c r="FZ21" s="16">
        <v>100232183759</v>
      </c>
      <c r="GA21" s="17" t="s">
        <v>36</v>
      </c>
      <c r="GB21" s="52" t="s">
        <v>36</v>
      </c>
      <c r="GC21" s="44">
        <v>199</v>
      </c>
      <c r="GD21" s="16">
        <v>100232183759</v>
      </c>
      <c r="GE21" s="17" t="s">
        <v>36</v>
      </c>
      <c r="GF21" s="52" t="s">
        <v>36</v>
      </c>
      <c r="GG21" s="44">
        <v>199</v>
      </c>
      <c r="GH21" s="16">
        <v>100232183759</v>
      </c>
      <c r="GI21" s="17" t="s">
        <v>36</v>
      </c>
      <c r="GJ21" s="52" t="s">
        <v>36</v>
      </c>
      <c r="GK21" s="44">
        <v>199</v>
      </c>
      <c r="GL21" s="16">
        <v>100232183759</v>
      </c>
      <c r="GM21" s="17" t="s">
        <v>36</v>
      </c>
      <c r="GN21" s="52" t="s">
        <v>36</v>
      </c>
      <c r="GO21" s="44">
        <v>199</v>
      </c>
      <c r="GP21" s="16">
        <v>100232183759</v>
      </c>
      <c r="GQ21" s="17" t="s">
        <v>36</v>
      </c>
      <c r="GR21" s="52" t="s">
        <v>36</v>
      </c>
      <c r="GS21" s="44">
        <v>199</v>
      </c>
      <c r="GT21" s="16">
        <v>100232183759</v>
      </c>
      <c r="GU21" s="17" t="s">
        <v>36</v>
      </c>
      <c r="GV21" s="52" t="s">
        <v>36</v>
      </c>
      <c r="GW21" s="44">
        <v>199</v>
      </c>
      <c r="GX21" s="16">
        <v>100232183759</v>
      </c>
      <c r="GY21" s="17" t="s">
        <v>36</v>
      </c>
      <c r="GZ21" s="52" t="s">
        <v>36</v>
      </c>
      <c r="HA21" s="44">
        <v>199</v>
      </c>
      <c r="HB21" s="16">
        <v>100232183759</v>
      </c>
      <c r="HC21" s="17" t="s">
        <v>36</v>
      </c>
      <c r="HD21" s="52" t="s">
        <v>36</v>
      </c>
      <c r="HE21" s="44">
        <v>199</v>
      </c>
      <c r="HF21" s="16">
        <v>100232183759</v>
      </c>
      <c r="HG21" s="17" t="s">
        <v>36</v>
      </c>
      <c r="HH21" s="52" t="s">
        <v>36</v>
      </c>
      <c r="HI21" s="44">
        <v>199</v>
      </c>
      <c r="HJ21" s="16">
        <v>100232183759</v>
      </c>
      <c r="HK21" s="17" t="s">
        <v>36</v>
      </c>
      <c r="HL21" s="52" t="s">
        <v>36</v>
      </c>
      <c r="HM21" s="44">
        <v>199</v>
      </c>
      <c r="HN21" s="16">
        <v>100232183759</v>
      </c>
      <c r="HO21" s="17" t="s">
        <v>36</v>
      </c>
      <c r="HP21" s="52" t="s">
        <v>36</v>
      </c>
      <c r="HQ21" s="44">
        <v>199</v>
      </c>
      <c r="HR21" s="16">
        <v>100232183759</v>
      </c>
      <c r="HS21" s="17" t="s">
        <v>36</v>
      </c>
      <c r="HT21" s="52" t="s">
        <v>36</v>
      </c>
      <c r="HU21" s="44">
        <v>199</v>
      </c>
      <c r="HV21" s="16">
        <v>100232183759</v>
      </c>
      <c r="HW21" s="17" t="s">
        <v>36</v>
      </c>
      <c r="HX21" s="52" t="s">
        <v>36</v>
      </c>
      <c r="HY21" s="44">
        <v>199</v>
      </c>
      <c r="HZ21" s="16">
        <v>100232183759</v>
      </c>
      <c r="IA21" s="17" t="s">
        <v>36</v>
      </c>
      <c r="IB21" s="52" t="s">
        <v>36</v>
      </c>
      <c r="IC21" s="44">
        <v>199</v>
      </c>
      <c r="ID21" s="16">
        <v>100232183759</v>
      </c>
      <c r="IE21" s="17" t="s">
        <v>36</v>
      </c>
      <c r="IF21" s="52" t="s">
        <v>36</v>
      </c>
      <c r="IG21" s="44">
        <v>199</v>
      </c>
      <c r="IH21" s="16">
        <v>100232183759</v>
      </c>
      <c r="II21" s="17" t="s">
        <v>36</v>
      </c>
      <c r="IJ21" s="52" t="s">
        <v>36</v>
      </c>
      <c r="IK21" s="44">
        <v>199</v>
      </c>
      <c r="IL21" s="16">
        <v>100232183759</v>
      </c>
      <c r="IM21" s="17" t="s">
        <v>36</v>
      </c>
      <c r="IN21" s="52" t="s">
        <v>36</v>
      </c>
      <c r="IO21" s="44">
        <v>199</v>
      </c>
      <c r="IP21" s="16">
        <v>100232183759</v>
      </c>
      <c r="IQ21" s="17" t="s">
        <v>36</v>
      </c>
      <c r="IR21" s="52" t="s">
        <v>36</v>
      </c>
      <c r="IS21" s="44">
        <v>199</v>
      </c>
      <c r="IT21" s="16">
        <v>100232183759</v>
      </c>
      <c r="IU21" s="17" t="s">
        <v>36</v>
      </c>
      <c r="IV21" s="52" t="s">
        <v>36</v>
      </c>
    </row>
    <row r="22" spans="1:256" s="19" customFormat="1" ht="30" x14ac:dyDescent="0.25">
      <c r="A22" s="45">
        <v>204</v>
      </c>
      <c r="B22" s="57">
        <v>100232169483</v>
      </c>
      <c r="C22" s="58" t="s">
        <v>37</v>
      </c>
      <c r="D22" s="75" t="s">
        <v>38</v>
      </c>
      <c r="E22" s="50">
        <v>30</v>
      </c>
      <c r="F22" s="50">
        <v>5500</v>
      </c>
      <c r="G22" s="50">
        <v>5500</v>
      </c>
      <c r="H22" s="61">
        <f t="shared" si="1"/>
        <v>660</v>
      </c>
      <c r="I22" s="21">
        <f t="shared" si="0"/>
        <v>660</v>
      </c>
    </row>
    <row r="23" spans="1:256" s="19" customFormat="1" ht="15.75" x14ac:dyDescent="0.25">
      <c r="A23" s="45">
        <v>224</v>
      </c>
      <c r="B23" s="57">
        <v>100112371371</v>
      </c>
      <c r="C23" s="58" t="s">
        <v>39</v>
      </c>
      <c r="D23" s="77" t="s">
        <v>40</v>
      </c>
      <c r="E23" s="75">
        <v>30</v>
      </c>
      <c r="F23" s="77">
        <v>5500</v>
      </c>
      <c r="G23" s="77">
        <v>5500</v>
      </c>
      <c r="H23" s="61">
        <f t="shared" si="1"/>
        <v>660</v>
      </c>
      <c r="I23" s="21">
        <f>G23*12/100</f>
        <v>660</v>
      </c>
    </row>
    <row r="24" spans="1:256" s="19" customFormat="1" ht="15.75" x14ac:dyDescent="0.25">
      <c r="A24" s="45">
        <v>226</v>
      </c>
      <c r="B24" s="57">
        <v>100310052599</v>
      </c>
      <c r="C24" s="58" t="s">
        <v>41</v>
      </c>
      <c r="D24" s="78" t="s">
        <v>42</v>
      </c>
      <c r="E24" s="50">
        <v>30</v>
      </c>
      <c r="F24" s="77">
        <v>2500</v>
      </c>
      <c r="G24" s="77">
        <v>2500</v>
      </c>
      <c r="H24" s="61">
        <f t="shared" si="1"/>
        <v>300</v>
      </c>
      <c r="I24" s="21"/>
    </row>
    <row r="25" spans="1:256" s="19" customFormat="1" ht="15.75" x14ac:dyDescent="0.25">
      <c r="A25" s="45">
        <v>252</v>
      </c>
      <c r="B25" s="57">
        <v>100373345016</v>
      </c>
      <c r="C25" s="58" t="s">
        <v>43</v>
      </c>
      <c r="D25" s="79" t="s">
        <v>44</v>
      </c>
      <c r="E25" s="77">
        <v>30</v>
      </c>
      <c r="F25" s="80">
        <v>5500</v>
      </c>
      <c r="G25" s="80">
        <v>5500</v>
      </c>
      <c r="H25" s="61">
        <f t="shared" si="1"/>
        <v>660</v>
      </c>
      <c r="I25" s="21">
        <f>G25*12/100</f>
        <v>660</v>
      </c>
    </row>
    <row r="26" spans="1:256" s="19" customFormat="1" ht="15.75" x14ac:dyDescent="0.25">
      <c r="A26" s="45">
        <v>261</v>
      </c>
      <c r="B26" s="57">
        <v>100222141431</v>
      </c>
      <c r="C26" s="58" t="s">
        <v>45</v>
      </c>
      <c r="D26" s="81" t="s">
        <v>45</v>
      </c>
      <c r="E26" s="82">
        <v>30</v>
      </c>
      <c r="F26" s="80">
        <v>3525</v>
      </c>
      <c r="G26" s="80">
        <v>3525</v>
      </c>
      <c r="H26" s="61">
        <f t="shared" si="1"/>
        <v>423</v>
      </c>
      <c r="I26" s="21"/>
    </row>
    <row r="27" spans="1:256" s="19" customFormat="1" ht="15.75" x14ac:dyDescent="0.25">
      <c r="A27" s="45">
        <v>269</v>
      </c>
      <c r="B27" s="57">
        <v>100353847332</v>
      </c>
      <c r="C27" s="58" t="s">
        <v>46</v>
      </c>
      <c r="D27" s="83" t="s">
        <v>47</v>
      </c>
      <c r="E27" s="83">
        <v>30</v>
      </c>
      <c r="F27" s="84">
        <v>5500</v>
      </c>
      <c r="G27" s="84">
        <v>5500</v>
      </c>
      <c r="H27" s="61">
        <f t="shared" si="1"/>
        <v>660</v>
      </c>
      <c r="I27" s="21">
        <f t="shared" ref="I27:I56" si="2">G27*12/100</f>
        <v>660</v>
      </c>
    </row>
    <row r="28" spans="1:256" s="19" customFormat="1" ht="15.75" x14ac:dyDescent="0.25">
      <c r="A28" s="45">
        <v>309</v>
      </c>
      <c r="B28" s="57">
        <v>100353888563</v>
      </c>
      <c r="C28" s="58" t="s">
        <v>48</v>
      </c>
      <c r="D28" s="85" t="s">
        <v>48</v>
      </c>
      <c r="E28" s="83">
        <v>30</v>
      </c>
      <c r="F28" s="84">
        <v>5500</v>
      </c>
      <c r="G28" s="84">
        <v>5500</v>
      </c>
      <c r="H28" s="61">
        <f t="shared" si="1"/>
        <v>660</v>
      </c>
      <c r="I28" s="21"/>
    </row>
    <row r="29" spans="1:256" s="19" customFormat="1" ht="15.75" x14ac:dyDescent="0.25">
      <c r="A29" s="45">
        <v>324</v>
      </c>
      <c r="B29" s="57">
        <v>100366458827</v>
      </c>
      <c r="C29" s="58" t="s">
        <v>51</v>
      </c>
      <c r="D29" s="87" t="s">
        <v>52</v>
      </c>
      <c r="E29" s="88">
        <v>30</v>
      </c>
      <c r="F29" s="89">
        <v>5500</v>
      </c>
      <c r="G29" s="89">
        <v>5500</v>
      </c>
      <c r="H29" s="61">
        <f t="shared" si="1"/>
        <v>660</v>
      </c>
      <c r="I29" s="21">
        <f t="shared" si="2"/>
        <v>660</v>
      </c>
    </row>
    <row r="30" spans="1:256" s="19" customFormat="1" ht="26.25" x14ac:dyDescent="0.25">
      <c r="A30" s="45">
        <v>326</v>
      </c>
      <c r="B30" s="57">
        <v>100353855918</v>
      </c>
      <c r="C30" s="58" t="s">
        <v>53</v>
      </c>
      <c r="D30" s="90" t="s">
        <v>54</v>
      </c>
      <c r="E30" s="88">
        <v>30</v>
      </c>
      <c r="F30" s="89">
        <v>5500</v>
      </c>
      <c r="G30" s="89">
        <v>5500</v>
      </c>
      <c r="H30" s="61">
        <f t="shared" si="1"/>
        <v>660</v>
      </c>
      <c r="I30" s="21">
        <f t="shared" si="2"/>
        <v>660</v>
      </c>
    </row>
    <row r="31" spans="1:256" s="19" customFormat="1" ht="15.75" x14ac:dyDescent="0.25">
      <c r="A31" s="45">
        <v>335</v>
      </c>
      <c r="B31" s="57">
        <v>100353697416</v>
      </c>
      <c r="C31" s="58" t="s">
        <v>55</v>
      </c>
      <c r="D31" s="91" t="s">
        <v>56</v>
      </c>
      <c r="E31" s="88">
        <v>30</v>
      </c>
      <c r="F31" s="89">
        <v>2500</v>
      </c>
      <c r="G31" s="89">
        <v>2500</v>
      </c>
      <c r="H31" s="61">
        <f t="shared" si="1"/>
        <v>300</v>
      </c>
      <c r="I31" s="21"/>
    </row>
    <row r="32" spans="1:256" s="19" customFormat="1" ht="15.75" x14ac:dyDescent="0.25">
      <c r="A32" s="45">
        <v>337</v>
      </c>
      <c r="B32" s="57">
        <v>100353650100</v>
      </c>
      <c r="C32" s="58" t="s">
        <v>57</v>
      </c>
      <c r="D32" s="92" t="s">
        <v>58</v>
      </c>
      <c r="E32" s="88">
        <v>30</v>
      </c>
      <c r="F32" s="89">
        <v>5500</v>
      </c>
      <c r="G32" s="89">
        <v>5500</v>
      </c>
      <c r="H32" s="61">
        <f t="shared" si="1"/>
        <v>660</v>
      </c>
      <c r="I32" s="21">
        <f t="shared" si="2"/>
        <v>660</v>
      </c>
    </row>
    <row r="33" spans="1:9" s="19" customFormat="1" ht="15.75" x14ac:dyDescent="0.25">
      <c r="A33" s="45">
        <v>348</v>
      </c>
      <c r="B33" s="57">
        <v>100353616736</v>
      </c>
      <c r="C33" s="58" t="s">
        <v>59</v>
      </c>
      <c r="D33" s="93" t="s">
        <v>60</v>
      </c>
      <c r="E33" s="88">
        <v>30</v>
      </c>
      <c r="F33" s="89">
        <v>4250</v>
      </c>
      <c r="G33" s="89">
        <v>4250</v>
      </c>
      <c r="H33" s="61">
        <f t="shared" si="1"/>
        <v>510</v>
      </c>
      <c r="I33" s="21"/>
    </row>
    <row r="34" spans="1:9" s="19" customFormat="1" ht="15.75" x14ac:dyDescent="0.25">
      <c r="A34" s="45">
        <v>358</v>
      </c>
      <c r="B34" s="57">
        <v>100404638047</v>
      </c>
      <c r="C34" s="58" t="s">
        <v>61</v>
      </c>
      <c r="D34" s="94" t="s">
        <v>62</v>
      </c>
      <c r="E34" s="83">
        <v>30</v>
      </c>
      <c r="F34" s="89">
        <v>2500</v>
      </c>
      <c r="G34" s="89">
        <v>2500</v>
      </c>
      <c r="H34" s="61">
        <f t="shared" si="1"/>
        <v>300</v>
      </c>
      <c r="I34" s="21"/>
    </row>
    <row r="35" spans="1:9" s="19" customFormat="1" ht="15.75" x14ac:dyDescent="0.25">
      <c r="A35" s="45">
        <v>372</v>
      </c>
      <c r="B35" s="57">
        <v>100091836225</v>
      </c>
      <c r="C35" s="58" t="s">
        <v>63</v>
      </c>
      <c r="D35" s="95" t="s">
        <v>64</v>
      </c>
      <c r="E35" s="83">
        <v>30</v>
      </c>
      <c r="F35" s="96">
        <v>5500</v>
      </c>
      <c r="G35" s="96">
        <v>5500</v>
      </c>
      <c r="H35" s="61">
        <f t="shared" si="1"/>
        <v>660</v>
      </c>
      <c r="I35" s="21">
        <f t="shared" si="2"/>
        <v>660</v>
      </c>
    </row>
    <row r="36" spans="1:9" s="19" customFormat="1" ht="15.75" x14ac:dyDescent="0.25">
      <c r="A36" s="45">
        <v>378</v>
      </c>
      <c r="B36" s="57">
        <v>100283282515</v>
      </c>
      <c r="C36" s="58" t="s">
        <v>65</v>
      </c>
      <c r="D36" s="95" t="s">
        <v>65</v>
      </c>
      <c r="E36" s="83">
        <v>30</v>
      </c>
      <c r="F36" s="89">
        <v>5500</v>
      </c>
      <c r="G36" s="89">
        <v>5500</v>
      </c>
      <c r="H36" s="61">
        <f t="shared" si="1"/>
        <v>660</v>
      </c>
      <c r="I36" s="21">
        <f t="shared" si="2"/>
        <v>660</v>
      </c>
    </row>
    <row r="37" spans="1:9" s="19" customFormat="1" ht="15.75" x14ac:dyDescent="0.25">
      <c r="A37" s="45">
        <v>390</v>
      </c>
      <c r="B37" s="57">
        <v>100353938598</v>
      </c>
      <c r="C37" s="58" t="s">
        <v>66</v>
      </c>
      <c r="D37" s="92" t="s">
        <v>67</v>
      </c>
      <c r="E37" s="83">
        <v>30</v>
      </c>
      <c r="F37" s="88">
        <v>5500</v>
      </c>
      <c r="G37" s="88">
        <v>5500</v>
      </c>
      <c r="H37" s="61">
        <f t="shared" si="1"/>
        <v>660</v>
      </c>
      <c r="I37" s="21">
        <f t="shared" si="2"/>
        <v>660</v>
      </c>
    </row>
    <row r="38" spans="1:9" s="19" customFormat="1" ht="15.75" x14ac:dyDescent="0.25">
      <c r="A38" s="45">
        <v>391</v>
      </c>
      <c r="B38" s="57">
        <v>100353855034</v>
      </c>
      <c r="C38" s="58" t="s">
        <v>68</v>
      </c>
      <c r="D38" s="97" t="s">
        <v>69</v>
      </c>
      <c r="E38" s="83">
        <v>30</v>
      </c>
      <c r="F38" s="88">
        <v>3475</v>
      </c>
      <c r="G38" s="88">
        <v>3475</v>
      </c>
      <c r="H38" s="61">
        <f t="shared" si="1"/>
        <v>417</v>
      </c>
      <c r="I38" s="21"/>
    </row>
    <row r="39" spans="1:9" s="19" customFormat="1" ht="15.75" x14ac:dyDescent="0.25">
      <c r="A39" s="45">
        <v>400</v>
      </c>
      <c r="B39" s="57">
        <v>100358397938</v>
      </c>
      <c r="C39" s="58" t="s">
        <v>70</v>
      </c>
      <c r="D39" s="98" t="s">
        <v>71</v>
      </c>
      <c r="E39" s="83">
        <v>30</v>
      </c>
      <c r="F39" s="88">
        <v>5500</v>
      </c>
      <c r="G39" s="88">
        <v>5500</v>
      </c>
      <c r="H39" s="61">
        <f t="shared" si="1"/>
        <v>660</v>
      </c>
      <c r="I39" s="21">
        <f t="shared" si="2"/>
        <v>660</v>
      </c>
    </row>
    <row r="40" spans="1:9" s="19" customFormat="1" ht="18" x14ac:dyDescent="0.25">
      <c r="A40" s="45">
        <v>415</v>
      </c>
      <c r="B40" s="57">
        <v>100358404005</v>
      </c>
      <c r="C40" s="58" t="s">
        <v>72</v>
      </c>
      <c r="D40" s="99" t="s">
        <v>73</v>
      </c>
      <c r="E40" s="83">
        <v>30</v>
      </c>
      <c r="F40" s="88">
        <v>2500</v>
      </c>
      <c r="G40" s="88">
        <v>2500</v>
      </c>
      <c r="H40" s="61">
        <f t="shared" si="1"/>
        <v>300</v>
      </c>
      <c r="I40" s="21"/>
    </row>
    <row r="41" spans="1:9" s="19" customFormat="1" ht="15.75" x14ac:dyDescent="0.25">
      <c r="A41" s="45">
        <v>429</v>
      </c>
      <c r="B41" s="57">
        <v>100140247570</v>
      </c>
      <c r="C41" s="58" t="s">
        <v>74</v>
      </c>
      <c r="D41" s="55" t="s">
        <v>74</v>
      </c>
      <c r="E41" s="83">
        <v>30</v>
      </c>
      <c r="F41" s="88">
        <v>2500</v>
      </c>
      <c r="G41" s="88">
        <v>2500</v>
      </c>
      <c r="H41" s="61">
        <f t="shared" si="1"/>
        <v>300</v>
      </c>
      <c r="I41" s="21"/>
    </row>
    <row r="42" spans="1:9" s="19" customFormat="1" ht="16.5" x14ac:dyDescent="0.25">
      <c r="A42" s="45">
        <v>434</v>
      </c>
      <c r="B42" s="57">
        <v>100353735967</v>
      </c>
      <c r="C42" s="58" t="s">
        <v>75</v>
      </c>
      <c r="D42" s="100" t="s">
        <v>76</v>
      </c>
      <c r="E42" s="83">
        <v>30</v>
      </c>
      <c r="F42" s="54">
        <v>5500</v>
      </c>
      <c r="G42" s="54">
        <v>5500</v>
      </c>
      <c r="H42" s="61">
        <f t="shared" si="1"/>
        <v>660</v>
      </c>
      <c r="I42" s="21">
        <f t="shared" si="2"/>
        <v>660</v>
      </c>
    </row>
    <row r="43" spans="1:9" s="19" customFormat="1" ht="16.5" x14ac:dyDescent="0.25">
      <c r="A43" s="45">
        <v>435</v>
      </c>
      <c r="B43" s="57">
        <v>100358401923</v>
      </c>
      <c r="C43" s="58" t="s">
        <v>77</v>
      </c>
      <c r="D43" s="100" t="s">
        <v>78</v>
      </c>
      <c r="E43" s="83">
        <v>30</v>
      </c>
      <c r="F43" s="54">
        <v>2000</v>
      </c>
      <c r="G43" s="54">
        <v>2000</v>
      </c>
      <c r="H43" s="61">
        <f t="shared" si="1"/>
        <v>240</v>
      </c>
      <c r="I43" s="21">
        <f t="shared" si="2"/>
        <v>240</v>
      </c>
    </row>
    <row r="44" spans="1:9" s="19" customFormat="1" ht="18" x14ac:dyDescent="0.25">
      <c r="A44" s="45">
        <v>443</v>
      </c>
      <c r="B44" s="57">
        <v>100205552698</v>
      </c>
      <c r="C44" s="58" t="s">
        <v>79</v>
      </c>
      <c r="D44" s="101" t="s">
        <v>80</v>
      </c>
      <c r="E44" s="83">
        <v>30</v>
      </c>
      <c r="F44" s="102">
        <v>5500</v>
      </c>
      <c r="G44" s="102">
        <v>5500</v>
      </c>
      <c r="H44" s="61">
        <f t="shared" si="1"/>
        <v>660</v>
      </c>
      <c r="I44" s="21">
        <f t="shared" si="2"/>
        <v>660</v>
      </c>
    </row>
    <row r="45" spans="1:9" s="19" customFormat="1" ht="33" x14ac:dyDescent="0.25">
      <c r="A45" s="45">
        <v>447</v>
      </c>
      <c r="B45" s="57">
        <v>100134159284</v>
      </c>
      <c r="C45" s="58" t="s">
        <v>81</v>
      </c>
      <c r="D45" s="103" t="s">
        <v>81</v>
      </c>
      <c r="E45" s="83">
        <v>30</v>
      </c>
      <c r="F45" s="103">
        <v>5500</v>
      </c>
      <c r="G45" s="103">
        <v>5500</v>
      </c>
      <c r="H45" s="61">
        <f t="shared" si="1"/>
        <v>660</v>
      </c>
      <c r="I45" s="21">
        <f t="shared" si="2"/>
        <v>660</v>
      </c>
    </row>
    <row r="46" spans="1:9" s="19" customFormat="1" ht="15.75" x14ac:dyDescent="0.25">
      <c r="A46" s="45">
        <v>451</v>
      </c>
      <c r="B46" s="57">
        <v>100162007981</v>
      </c>
      <c r="C46" s="58" t="s">
        <v>82</v>
      </c>
      <c r="D46" s="51" t="s">
        <v>83</v>
      </c>
      <c r="E46" s="83">
        <v>30</v>
      </c>
      <c r="F46" s="104">
        <v>3195</v>
      </c>
      <c r="G46" s="104">
        <v>3195</v>
      </c>
      <c r="H46" s="61">
        <f t="shared" si="1"/>
        <v>383.4</v>
      </c>
      <c r="I46" s="21">
        <f t="shared" si="2"/>
        <v>383.4</v>
      </c>
    </row>
    <row r="47" spans="1:9" s="19" customFormat="1" ht="33" x14ac:dyDescent="0.25">
      <c r="A47" s="45">
        <v>455</v>
      </c>
      <c r="B47" s="57">
        <v>100333498650</v>
      </c>
      <c r="C47" s="58" t="s">
        <v>84</v>
      </c>
      <c r="D47" s="120" t="s">
        <v>84</v>
      </c>
      <c r="E47" s="83">
        <v>30</v>
      </c>
      <c r="F47" s="104">
        <v>2500</v>
      </c>
      <c r="G47" s="104">
        <v>2500</v>
      </c>
      <c r="H47" s="61">
        <f t="shared" si="1"/>
        <v>300</v>
      </c>
      <c r="I47" s="21"/>
    </row>
    <row r="48" spans="1:9" s="19" customFormat="1" ht="18" x14ac:dyDescent="0.25">
      <c r="A48" s="45">
        <v>466</v>
      </c>
      <c r="B48" s="57">
        <v>100232175087</v>
      </c>
      <c r="C48" s="58" t="s">
        <v>85</v>
      </c>
      <c r="D48" s="106" t="s">
        <v>86</v>
      </c>
      <c r="E48" s="83">
        <v>30</v>
      </c>
      <c r="F48" s="107">
        <v>3195</v>
      </c>
      <c r="G48" s="107">
        <v>3195</v>
      </c>
      <c r="H48" s="61">
        <f t="shared" si="1"/>
        <v>383.4</v>
      </c>
      <c r="I48" s="21">
        <f t="shared" si="2"/>
        <v>383.4</v>
      </c>
    </row>
    <row r="49" spans="1:9" s="19" customFormat="1" ht="15.75" x14ac:dyDescent="0.25">
      <c r="A49" s="45">
        <v>481</v>
      </c>
      <c r="B49" s="57">
        <v>100358411358</v>
      </c>
      <c r="C49" s="58" t="s">
        <v>88</v>
      </c>
      <c r="D49" s="108" t="s">
        <v>87</v>
      </c>
      <c r="E49" s="83">
        <v>30</v>
      </c>
      <c r="F49" s="109">
        <v>5500</v>
      </c>
      <c r="G49" s="109">
        <v>5500</v>
      </c>
      <c r="H49" s="61">
        <f t="shared" si="1"/>
        <v>660</v>
      </c>
      <c r="I49" s="21">
        <f t="shared" si="2"/>
        <v>660</v>
      </c>
    </row>
    <row r="50" spans="1:9" s="19" customFormat="1" ht="15.75" x14ac:dyDescent="0.25">
      <c r="A50" s="45">
        <v>482</v>
      </c>
      <c r="B50" s="57">
        <v>100353504634</v>
      </c>
      <c r="C50" s="58" t="s">
        <v>90</v>
      </c>
      <c r="D50" s="108" t="s">
        <v>89</v>
      </c>
      <c r="E50" s="83">
        <v>30</v>
      </c>
      <c r="F50" s="109">
        <v>5500</v>
      </c>
      <c r="G50" s="109">
        <v>5500</v>
      </c>
      <c r="H50" s="61">
        <f t="shared" si="1"/>
        <v>660</v>
      </c>
      <c r="I50" s="21">
        <f t="shared" si="2"/>
        <v>660</v>
      </c>
    </row>
    <row r="51" spans="1:9" s="19" customFormat="1" ht="15.75" x14ac:dyDescent="0.25">
      <c r="A51" s="45">
        <v>483</v>
      </c>
      <c r="B51" s="57">
        <v>100353780044</v>
      </c>
      <c r="C51" s="58" t="s">
        <v>92</v>
      </c>
      <c r="D51" s="108" t="s">
        <v>91</v>
      </c>
      <c r="E51" s="83">
        <v>30</v>
      </c>
      <c r="F51" s="109">
        <v>5500</v>
      </c>
      <c r="G51" s="109">
        <v>5500</v>
      </c>
      <c r="H51" s="61">
        <f t="shared" si="1"/>
        <v>660</v>
      </c>
      <c r="I51" s="21">
        <f t="shared" si="2"/>
        <v>660</v>
      </c>
    </row>
    <row r="52" spans="1:9" s="19" customFormat="1" ht="15.75" x14ac:dyDescent="0.25">
      <c r="A52" s="45">
        <v>485</v>
      </c>
      <c r="B52" s="57">
        <v>100236190637</v>
      </c>
      <c r="C52" s="58" t="s">
        <v>94</v>
      </c>
      <c r="D52" s="108" t="s">
        <v>93</v>
      </c>
      <c r="E52" s="83">
        <v>30</v>
      </c>
      <c r="F52" s="109">
        <v>5500</v>
      </c>
      <c r="G52" s="109">
        <v>5500</v>
      </c>
      <c r="H52" s="61">
        <f t="shared" si="1"/>
        <v>660</v>
      </c>
      <c r="I52" s="21">
        <f t="shared" si="2"/>
        <v>660</v>
      </c>
    </row>
    <row r="53" spans="1:9" s="42" customFormat="1" ht="15.75" x14ac:dyDescent="0.25">
      <c r="A53" s="45">
        <v>487</v>
      </c>
      <c r="B53" s="57">
        <v>100358418267</v>
      </c>
      <c r="C53" s="58" t="s">
        <v>96</v>
      </c>
      <c r="D53" s="108" t="s">
        <v>95</v>
      </c>
      <c r="E53" s="83">
        <v>30</v>
      </c>
      <c r="F53" s="109">
        <v>3475</v>
      </c>
      <c r="G53" s="109">
        <v>3475</v>
      </c>
      <c r="H53" s="61">
        <f t="shared" si="1"/>
        <v>417</v>
      </c>
      <c r="I53" s="21">
        <f t="shared" si="2"/>
        <v>417</v>
      </c>
    </row>
    <row r="54" spans="1:9" s="19" customFormat="1" ht="15.75" x14ac:dyDescent="0.25">
      <c r="A54" s="45">
        <v>491</v>
      </c>
      <c r="B54" s="57">
        <v>100353509071</v>
      </c>
      <c r="C54" s="58" t="s">
        <v>97</v>
      </c>
      <c r="D54" s="58" t="s">
        <v>97</v>
      </c>
      <c r="E54" s="83">
        <v>30</v>
      </c>
      <c r="F54" s="110">
        <v>3195</v>
      </c>
      <c r="G54" s="110">
        <v>3195</v>
      </c>
      <c r="H54" s="61">
        <f t="shared" si="1"/>
        <v>383.4</v>
      </c>
      <c r="I54" s="21">
        <f t="shared" si="2"/>
        <v>383.4</v>
      </c>
    </row>
    <row r="55" spans="1:9" s="19" customFormat="1" ht="15.75" x14ac:dyDescent="0.25">
      <c r="A55" s="45">
        <v>492</v>
      </c>
      <c r="B55" s="57">
        <v>100353508759</v>
      </c>
      <c r="C55" s="58" t="s">
        <v>98</v>
      </c>
      <c r="D55" s="58" t="s">
        <v>98</v>
      </c>
      <c r="E55" s="83">
        <v>30</v>
      </c>
      <c r="F55" s="110">
        <v>3195</v>
      </c>
      <c r="G55" s="110">
        <v>3195</v>
      </c>
      <c r="H55" s="61">
        <f t="shared" si="1"/>
        <v>383.4</v>
      </c>
      <c r="I55" s="21">
        <f t="shared" si="2"/>
        <v>383.4</v>
      </c>
    </row>
    <row r="56" spans="1:9" s="19" customFormat="1" ht="15.75" x14ac:dyDescent="0.25">
      <c r="A56" s="45">
        <v>493</v>
      </c>
      <c r="B56" s="57">
        <v>100353509419</v>
      </c>
      <c r="C56" s="58" t="s">
        <v>99</v>
      </c>
      <c r="D56" s="58" t="s">
        <v>99</v>
      </c>
      <c r="E56" s="83">
        <v>30</v>
      </c>
      <c r="F56" s="110">
        <v>3195</v>
      </c>
      <c r="G56" s="110">
        <v>3195</v>
      </c>
      <c r="H56" s="61">
        <f t="shared" si="1"/>
        <v>383.4</v>
      </c>
      <c r="I56" s="21">
        <f t="shared" si="2"/>
        <v>383.4</v>
      </c>
    </row>
    <row r="57" spans="1:9" s="19" customFormat="1" ht="15.75" x14ac:dyDescent="0.25">
      <c r="A57" s="45">
        <v>496</v>
      </c>
      <c r="B57" s="57">
        <v>100353505607</v>
      </c>
      <c r="C57" s="58" t="s">
        <v>100</v>
      </c>
      <c r="D57" s="58" t="s">
        <v>100</v>
      </c>
      <c r="E57" s="83">
        <v>30</v>
      </c>
      <c r="F57" s="110">
        <v>2000</v>
      </c>
      <c r="G57" s="110">
        <v>2000</v>
      </c>
      <c r="H57" s="61">
        <f t="shared" si="1"/>
        <v>240</v>
      </c>
      <c r="I57" s="21">
        <f>G57*12/100</f>
        <v>240</v>
      </c>
    </row>
    <row r="58" spans="1:9" s="19" customFormat="1" ht="15.75" x14ac:dyDescent="0.25">
      <c r="A58" s="45">
        <v>498</v>
      </c>
      <c r="B58" s="57">
        <v>100353509092</v>
      </c>
      <c r="C58" s="58" t="s">
        <v>101</v>
      </c>
      <c r="D58" s="58" t="s">
        <v>101</v>
      </c>
      <c r="E58" s="83">
        <v>30</v>
      </c>
      <c r="F58" s="110">
        <v>3195</v>
      </c>
      <c r="G58" s="110">
        <v>3195</v>
      </c>
      <c r="H58" s="61">
        <f t="shared" si="1"/>
        <v>383.4</v>
      </c>
      <c r="I58" s="21">
        <f>G58*12/100</f>
        <v>383.4</v>
      </c>
    </row>
    <row r="59" spans="1:9" s="19" customFormat="1" ht="15.75" x14ac:dyDescent="0.25">
      <c r="A59" s="45">
        <v>528</v>
      </c>
      <c r="B59" s="57">
        <v>100353982087</v>
      </c>
      <c r="C59" s="58" t="s">
        <v>102</v>
      </c>
      <c r="D59" s="111" t="s">
        <v>103</v>
      </c>
      <c r="E59" s="83">
        <v>30</v>
      </c>
      <c r="F59" s="110">
        <v>2500</v>
      </c>
      <c r="G59" s="110">
        <v>2500</v>
      </c>
      <c r="H59" s="61">
        <f t="shared" si="1"/>
        <v>300</v>
      </c>
      <c r="I59" s="21"/>
    </row>
    <row r="60" spans="1:9" s="19" customFormat="1" ht="15.75" x14ac:dyDescent="0.25">
      <c r="A60" s="45">
        <v>564</v>
      </c>
      <c r="B60" s="57">
        <v>100358576652</v>
      </c>
      <c r="C60" s="58" t="s">
        <v>104</v>
      </c>
      <c r="D60" s="86" t="s">
        <v>105</v>
      </c>
      <c r="E60" s="83">
        <v>30</v>
      </c>
      <c r="F60" s="112">
        <v>5500</v>
      </c>
      <c r="G60" s="112">
        <v>5500</v>
      </c>
      <c r="H60" s="61">
        <f t="shared" si="1"/>
        <v>660</v>
      </c>
      <c r="I60" s="21" t="e">
        <f>#REF!*12/100</f>
        <v>#REF!</v>
      </c>
    </row>
    <row r="61" spans="1:9" ht="29.25" customHeight="1" x14ac:dyDescent="0.25">
      <c r="A61" s="24"/>
      <c r="B61" s="25"/>
      <c r="C61" s="9"/>
      <c r="D61" s="31"/>
      <c r="E61" s="9"/>
      <c r="F61" s="56">
        <f>SUM(F3:F60)</f>
        <v>240210</v>
      </c>
      <c r="G61" s="56">
        <f>SUM(G3:G60)</f>
        <v>240210</v>
      </c>
      <c r="H61" s="56">
        <f>SUM(H3:H60)</f>
        <v>28825.200000000008</v>
      </c>
      <c r="I61" s="23"/>
    </row>
    <row r="62" spans="1:9" ht="17.25" x14ac:dyDescent="0.25">
      <c r="A62" s="24"/>
      <c r="B62" s="25"/>
      <c r="C62" s="26"/>
      <c r="D62" s="26"/>
      <c r="E62" s="27"/>
      <c r="F62" s="28"/>
      <c r="G62" s="29"/>
      <c r="H62" s="29"/>
      <c r="I62" s="23"/>
    </row>
    <row r="64" spans="1:9" x14ac:dyDescent="0.25">
      <c r="H64" s="36"/>
      <c r="I64" s="37"/>
    </row>
    <row r="65" spans="1:14" x14ac:dyDescent="0.25">
      <c r="A65" s="44"/>
      <c r="B65" s="16"/>
      <c r="C65" s="17"/>
      <c r="D65" s="53"/>
      <c r="E65" s="47"/>
    </row>
    <row r="66" spans="1:14" x14ac:dyDescent="0.25">
      <c r="I66" s="38"/>
    </row>
    <row r="68" spans="1:14" x14ac:dyDescent="0.25">
      <c r="F68" s="39"/>
      <c r="G68" s="39"/>
      <c r="I68" s="38"/>
    </row>
    <row r="70" spans="1:14" x14ac:dyDescent="0.25">
      <c r="F70" s="39"/>
    </row>
    <row r="71" spans="1:14" x14ac:dyDescent="0.25">
      <c r="F71" s="39"/>
    </row>
    <row r="72" spans="1:14" x14ac:dyDescent="0.25">
      <c r="G72" s="39"/>
    </row>
    <row r="73" spans="1:14" x14ac:dyDescent="0.25">
      <c r="F73" s="40"/>
      <c r="G73" s="40"/>
      <c r="I73" s="23"/>
    </row>
    <row r="74" spans="1:14" x14ac:dyDescent="0.25">
      <c r="F74" s="40"/>
      <c r="G74" s="41"/>
    </row>
    <row r="75" spans="1:14" x14ac:dyDescent="0.25">
      <c r="F75" s="40"/>
      <c r="G75" s="40"/>
      <c r="I75" s="23"/>
    </row>
    <row r="76" spans="1:14" ht="25.5" x14ac:dyDescent="0.25">
      <c r="A76" s="18" t="s">
        <v>106</v>
      </c>
      <c r="B76" s="20">
        <v>19250</v>
      </c>
      <c r="C76" s="20">
        <v>13960</v>
      </c>
      <c r="D76" s="20">
        <v>1800</v>
      </c>
      <c r="E76" s="30"/>
      <c r="F76" s="31"/>
      <c r="G76" s="31"/>
      <c r="H76" s="31"/>
      <c r="I76" s="32"/>
      <c r="J76" s="33"/>
      <c r="K76" s="40"/>
      <c r="L76" s="40"/>
      <c r="M76" s="35"/>
      <c r="N76" s="22"/>
    </row>
    <row r="78" spans="1:14" x14ac:dyDescent="0.25">
      <c r="E78" s="33">
        <v>42983</v>
      </c>
      <c r="F78" s="34">
        <v>17783</v>
      </c>
      <c r="G78" s="34">
        <f>E78-F78</f>
        <v>25200</v>
      </c>
    </row>
    <row r="79" spans="1:14" x14ac:dyDescent="0.25">
      <c r="G79" s="34">
        <v>18114</v>
      </c>
    </row>
    <row r="80" spans="1:14" x14ac:dyDescent="0.25">
      <c r="G80" s="34">
        <f>SUM(G78:G79)</f>
        <v>43314</v>
      </c>
      <c r="H80" s="35">
        <v>42728</v>
      </c>
      <c r="I80" s="22">
        <f>G80-H80</f>
        <v>586</v>
      </c>
    </row>
    <row r="84" spans="2:9" s="30" customFormat="1" x14ac:dyDescent="0.25">
      <c r="B84" s="31"/>
      <c r="C84" s="31"/>
      <c r="D84" s="32"/>
      <c r="E84" s="33"/>
      <c r="F84" s="34"/>
      <c r="G84" s="34"/>
      <c r="H84" s="35"/>
      <c r="I84" s="22"/>
    </row>
    <row r="115" spans="2:9" s="30" customFormat="1" x14ac:dyDescent="0.25">
      <c r="B115" s="31"/>
      <c r="C115" s="31"/>
      <c r="D115" s="32"/>
      <c r="E115" s="33"/>
      <c r="F115" s="34"/>
      <c r="G115" s="34"/>
      <c r="H115" s="35"/>
      <c r="I115" s="22"/>
    </row>
    <row r="170" spans="2:9" s="30" customFormat="1" x14ac:dyDescent="0.25">
      <c r="B170" s="31"/>
      <c r="C170" s="31"/>
      <c r="D170" s="32"/>
      <c r="E170" s="33"/>
      <c r="F170" s="34"/>
      <c r="G170" s="34"/>
      <c r="H170" s="35"/>
      <c r="I170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72"/>
  <sheetViews>
    <sheetView topLeftCell="A44" workbookViewId="0">
      <selection activeCell="C63" sqref="C63"/>
    </sheetView>
  </sheetViews>
  <sheetFormatPr defaultRowHeight="18.75" x14ac:dyDescent="0.25"/>
  <cols>
    <col min="1" max="1" width="9.140625" style="30"/>
    <col min="2" max="2" width="19.8554687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5703125" style="35" bestFit="1" customWidth="1"/>
    <col min="9" max="9" width="9.140625" style="22"/>
    <col min="10" max="16384" width="9.140625" style="9"/>
  </cols>
  <sheetData>
    <row r="1" spans="1:9" x14ac:dyDescent="0.25">
      <c r="A1" s="1">
        <v>39845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 t="shared" ref="H3:H36" si="0">G3*12/100</f>
        <v>660</v>
      </c>
      <c r="I3" s="21">
        <f t="shared" ref="I3:I23" si="1">G3*12/100</f>
        <v>660</v>
      </c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5500</v>
      </c>
      <c r="G4" s="61">
        <v>5500</v>
      </c>
      <c r="H4" s="61">
        <f t="shared" si="0"/>
        <v>660</v>
      </c>
      <c r="I4" s="21">
        <f t="shared" si="1"/>
        <v>660</v>
      </c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2500</v>
      </c>
      <c r="G5" s="62">
        <v>2500</v>
      </c>
      <c r="H5" s="61">
        <f t="shared" si="0"/>
        <v>300</v>
      </c>
      <c r="I5" s="21">
        <f t="shared" si="1"/>
        <v>300</v>
      </c>
    </row>
    <row r="6" spans="1:9" s="19" customFormat="1" ht="15.75" x14ac:dyDescent="0.25">
      <c r="A6" s="45">
        <v>38</v>
      </c>
      <c r="B6" s="57">
        <v>100217136235</v>
      </c>
      <c r="C6" s="58" t="s">
        <v>13</v>
      </c>
      <c r="D6" s="63" t="s">
        <v>14</v>
      </c>
      <c r="E6" s="59">
        <v>30</v>
      </c>
      <c r="F6" s="62">
        <v>2500</v>
      </c>
      <c r="G6" s="62">
        <v>2500</v>
      </c>
      <c r="H6" s="61">
        <f t="shared" si="0"/>
        <v>300</v>
      </c>
      <c r="I6" s="21"/>
    </row>
    <row r="7" spans="1:9" s="19" customFormat="1" ht="25.5" x14ac:dyDescent="0.25">
      <c r="A7" s="45">
        <v>50</v>
      </c>
      <c r="B7" s="57">
        <v>100253724762</v>
      </c>
      <c r="C7" s="58" t="s">
        <v>15</v>
      </c>
      <c r="D7" s="64" t="s">
        <v>16</v>
      </c>
      <c r="E7" s="65">
        <v>30</v>
      </c>
      <c r="F7" s="64">
        <v>5500</v>
      </c>
      <c r="G7" s="64">
        <v>5500</v>
      </c>
      <c r="H7" s="61">
        <f t="shared" si="0"/>
        <v>660</v>
      </c>
      <c r="I7" s="21">
        <f t="shared" si="1"/>
        <v>660</v>
      </c>
    </row>
    <row r="8" spans="1:9" s="19" customFormat="1" ht="15.75" x14ac:dyDescent="0.25">
      <c r="A8" s="45">
        <v>72</v>
      </c>
      <c r="B8" s="57">
        <v>100357142484</v>
      </c>
      <c r="C8" s="58" t="s">
        <v>17</v>
      </c>
      <c r="D8" s="66" t="s">
        <v>17</v>
      </c>
      <c r="E8" s="65">
        <v>30</v>
      </c>
      <c r="F8" s="64">
        <v>2500</v>
      </c>
      <c r="G8" s="64">
        <v>2500</v>
      </c>
      <c r="H8" s="61">
        <f t="shared" si="0"/>
        <v>300</v>
      </c>
      <c r="I8" s="21"/>
    </row>
    <row r="9" spans="1:9" s="19" customFormat="1" ht="15.75" x14ac:dyDescent="0.25">
      <c r="A9" s="45">
        <v>82</v>
      </c>
      <c r="B9" s="57">
        <v>100337411384</v>
      </c>
      <c r="C9" s="58" t="s">
        <v>18</v>
      </c>
      <c r="D9" s="67" t="s">
        <v>18</v>
      </c>
      <c r="E9" s="65">
        <v>29</v>
      </c>
      <c r="F9" s="64">
        <v>3195</v>
      </c>
      <c r="G9" s="64">
        <v>3195</v>
      </c>
      <c r="H9" s="61">
        <f t="shared" si="0"/>
        <v>383.4</v>
      </c>
      <c r="I9" s="21">
        <f t="shared" si="1"/>
        <v>383.4</v>
      </c>
    </row>
    <row r="10" spans="1:9" s="19" customFormat="1" ht="15.75" x14ac:dyDescent="0.25">
      <c r="A10" s="45">
        <v>90</v>
      </c>
      <c r="B10" s="57">
        <v>100233211212</v>
      </c>
      <c r="C10" s="58" t="s">
        <v>19</v>
      </c>
      <c r="D10" s="66" t="s">
        <v>20</v>
      </c>
      <c r="E10" s="65">
        <v>30</v>
      </c>
      <c r="F10" s="64">
        <v>2500</v>
      </c>
      <c r="G10" s="64">
        <v>2500</v>
      </c>
      <c r="H10" s="61">
        <f t="shared" si="0"/>
        <v>300</v>
      </c>
      <c r="I10" s="21"/>
    </row>
    <row r="11" spans="1:9" s="19" customFormat="1" ht="15.75" x14ac:dyDescent="0.25">
      <c r="A11" s="45">
        <v>96</v>
      </c>
      <c r="B11" s="57">
        <v>100071591724</v>
      </c>
      <c r="C11" s="58" t="s">
        <v>21</v>
      </c>
      <c r="D11" s="65" t="s">
        <v>21</v>
      </c>
      <c r="E11" s="65">
        <v>30</v>
      </c>
      <c r="F11" s="64">
        <v>5500</v>
      </c>
      <c r="G11" s="64">
        <v>5500</v>
      </c>
      <c r="H11" s="61">
        <f t="shared" si="0"/>
        <v>660</v>
      </c>
      <c r="I11" s="21">
        <f t="shared" si="1"/>
        <v>660</v>
      </c>
    </row>
    <row r="12" spans="1:9" s="19" customFormat="1" ht="15.75" x14ac:dyDescent="0.25">
      <c r="A12" s="45">
        <v>104</v>
      </c>
      <c r="B12" s="57">
        <v>100373767209</v>
      </c>
      <c r="C12" s="58" t="s">
        <v>22</v>
      </c>
      <c r="D12" s="68" t="s">
        <v>23</v>
      </c>
      <c r="E12" s="65">
        <v>30</v>
      </c>
      <c r="F12" s="64">
        <v>2500</v>
      </c>
      <c r="G12" s="64">
        <v>2500</v>
      </c>
      <c r="H12" s="61">
        <f t="shared" si="0"/>
        <v>300</v>
      </c>
      <c r="I12" s="21"/>
    </row>
    <row r="13" spans="1:9" s="19" customFormat="1" ht="15.75" x14ac:dyDescent="0.25">
      <c r="A13" s="45">
        <v>112</v>
      </c>
      <c r="B13" s="57">
        <v>100353622159</v>
      </c>
      <c r="C13" s="58" t="s">
        <v>24</v>
      </c>
      <c r="D13" s="65" t="s">
        <v>25</v>
      </c>
      <c r="E13" s="48">
        <v>30</v>
      </c>
      <c r="F13" s="48">
        <v>5500</v>
      </c>
      <c r="G13" s="48">
        <v>5500</v>
      </c>
      <c r="H13" s="61">
        <f t="shared" si="0"/>
        <v>660</v>
      </c>
      <c r="I13" s="21">
        <f t="shared" si="1"/>
        <v>660</v>
      </c>
    </row>
    <row r="14" spans="1:9" s="19" customFormat="1" ht="15.75" x14ac:dyDescent="0.25">
      <c r="A14" s="45">
        <v>126</v>
      </c>
      <c r="B14" s="57">
        <v>100358535750</v>
      </c>
      <c r="C14" s="58" t="s">
        <v>26</v>
      </c>
      <c r="D14" s="51" t="s">
        <v>27</v>
      </c>
      <c r="E14" s="69">
        <v>30</v>
      </c>
      <c r="F14" s="46">
        <v>5500</v>
      </c>
      <c r="G14" s="46">
        <v>5500</v>
      </c>
      <c r="H14" s="61">
        <f t="shared" si="0"/>
        <v>660</v>
      </c>
      <c r="I14" s="21">
        <f t="shared" si="1"/>
        <v>660</v>
      </c>
    </row>
    <row r="15" spans="1:9" s="19" customFormat="1" ht="15.75" x14ac:dyDescent="0.25">
      <c r="A15" s="45">
        <v>134</v>
      </c>
      <c r="B15" s="57">
        <v>100084707366</v>
      </c>
      <c r="C15" s="58" t="s">
        <v>28</v>
      </c>
      <c r="D15" s="71" t="s">
        <v>28</v>
      </c>
      <c r="E15" s="48">
        <v>30</v>
      </c>
      <c r="F15" s="69">
        <v>3499</v>
      </c>
      <c r="G15" s="69">
        <v>3499</v>
      </c>
      <c r="H15" s="61">
        <f t="shared" si="0"/>
        <v>419.88</v>
      </c>
      <c r="I15" s="21">
        <f t="shared" si="1"/>
        <v>419.88</v>
      </c>
    </row>
    <row r="16" spans="1:9" s="19" customFormat="1" ht="15.75" x14ac:dyDescent="0.25">
      <c r="A16" s="45">
        <v>136</v>
      </c>
      <c r="B16" s="57">
        <v>100167059875</v>
      </c>
      <c r="C16" s="58" t="s">
        <v>29</v>
      </c>
      <c r="D16" s="65" t="s">
        <v>30</v>
      </c>
      <c r="E16" s="48">
        <v>30</v>
      </c>
      <c r="F16" s="49">
        <v>5500</v>
      </c>
      <c r="G16" s="49">
        <v>5500</v>
      </c>
      <c r="H16" s="61">
        <f t="shared" si="0"/>
        <v>660</v>
      </c>
      <c r="I16" s="21">
        <f t="shared" si="1"/>
        <v>660</v>
      </c>
    </row>
    <row r="17" spans="1:256" s="19" customFormat="1" ht="15.75" x14ac:dyDescent="0.25">
      <c r="A17" s="45">
        <v>149</v>
      </c>
      <c r="B17" s="57">
        <v>100333985226</v>
      </c>
      <c r="C17" s="58" t="s">
        <v>31</v>
      </c>
      <c r="D17" s="51" t="s">
        <v>32</v>
      </c>
      <c r="E17" s="72">
        <v>30</v>
      </c>
      <c r="F17" s="72">
        <v>2000</v>
      </c>
      <c r="G17" s="72">
        <v>2000</v>
      </c>
      <c r="H17" s="61">
        <f t="shared" si="0"/>
        <v>240</v>
      </c>
      <c r="I17" s="21">
        <f t="shared" si="1"/>
        <v>240</v>
      </c>
    </row>
    <row r="18" spans="1:256" s="19" customFormat="1" ht="15.75" x14ac:dyDescent="0.25">
      <c r="A18" s="45">
        <v>169</v>
      </c>
      <c r="B18" s="57">
        <v>100112097052</v>
      </c>
      <c r="C18" s="58" t="s">
        <v>116</v>
      </c>
      <c r="D18" s="73" t="s">
        <v>117</v>
      </c>
      <c r="E18" s="60">
        <v>30</v>
      </c>
      <c r="F18" s="74">
        <v>5500</v>
      </c>
      <c r="G18" s="74">
        <v>5500</v>
      </c>
      <c r="H18" s="61">
        <f t="shared" si="0"/>
        <v>660</v>
      </c>
      <c r="I18" s="21"/>
    </row>
    <row r="19" spans="1:256" s="19" customFormat="1" ht="15.75" x14ac:dyDescent="0.25">
      <c r="A19" s="45">
        <v>186</v>
      </c>
      <c r="B19" s="57">
        <v>100353962659</v>
      </c>
      <c r="C19" s="58" t="s">
        <v>118</v>
      </c>
      <c r="D19" s="51" t="s">
        <v>119</v>
      </c>
      <c r="E19" s="72">
        <v>30</v>
      </c>
      <c r="F19" s="72">
        <v>2500</v>
      </c>
      <c r="G19" s="72">
        <v>2500</v>
      </c>
      <c r="H19" s="61">
        <f t="shared" si="0"/>
        <v>300</v>
      </c>
      <c r="I19" s="21"/>
    </row>
    <row r="20" spans="1:256" s="19" customFormat="1" ht="15.75" x14ac:dyDescent="0.25">
      <c r="A20" s="45">
        <v>191</v>
      </c>
      <c r="B20" s="57">
        <v>100094359606</v>
      </c>
      <c r="C20" s="58" t="s">
        <v>33</v>
      </c>
      <c r="D20" s="75" t="s">
        <v>33</v>
      </c>
      <c r="E20" s="75">
        <v>30</v>
      </c>
      <c r="F20" s="75">
        <v>2500</v>
      </c>
      <c r="G20" s="75">
        <v>2500</v>
      </c>
      <c r="H20" s="61">
        <f t="shared" si="0"/>
        <v>300</v>
      </c>
      <c r="I20" s="21">
        <f t="shared" si="1"/>
        <v>300</v>
      </c>
    </row>
    <row r="21" spans="1:256" s="19" customFormat="1" ht="15.75" x14ac:dyDescent="0.25">
      <c r="A21" s="45">
        <v>195</v>
      </c>
      <c r="B21" s="57">
        <v>100235466823</v>
      </c>
      <c r="C21" s="58" t="s">
        <v>34</v>
      </c>
      <c r="D21" s="75" t="s">
        <v>35</v>
      </c>
      <c r="E21" s="75">
        <v>30</v>
      </c>
      <c r="F21" s="75">
        <v>5500</v>
      </c>
      <c r="G21" s="75">
        <v>5500</v>
      </c>
      <c r="H21" s="61">
        <f t="shared" si="0"/>
        <v>660</v>
      </c>
      <c r="I21" s="21">
        <f t="shared" si="1"/>
        <v>660</v>
      </c>
    </row>
    <row r="22" spans="1:256" s="19" customFormat="1" ht="16.5" customHeight="1" x14ac:dyDescent="0.25">
      <c r="A22" s="45">
        <v>199</v>
      </c>
      <c r="B22" s="57">
        <v>100232183759</v>
      </c>
      <c r="C22" s="58" t="s">
        <v>36</v>
      </c>
      <c r="D22" s="76" t="s">
        <v>36</v>
      </c>
      <c r="E22" s="45">
        <v>30</v>
      </c>
      <c r="F22" s="57">
        <v>3000</v>
      </c>
      <c r="G22" s="57">
        <v>3000</v>
      </c>
      <c r="H22" s="61">
        <f t="shared" si="0"/>
        <v>360</v>
      </c>
      <c r="I22" s="44"/>
      <c r="J22" s="16"/>
      <c r="K22" s="17"/>
      <c r="L22" s="52"/>
      <c r="M22" s="44"/>
      <c r="N22" s="16"/>
      <c r="O22" s="17"/>
      <c r="P22" s="52"/>
      <c r="Q22" s="44"/>
      <c r="R22" s="16"/>
      <c r="S22" s="17"/>
      <c r="T22" s="52"/>
      <c r="U22" s="44"/>
      <c r="V22" s="16"/>
      <c r="W22" s="17"/>
      <c r="X22" s="52"/>
      <c r="Y22" s="44"/>
      <c r="Z22" s="16"/>
      <c r="AA22" s="17"/>
      <c r="AB22" s="52"/>
      <c r="AC22" s="44"/>
      <c r="AD22" s="16"/>
      <c r="AE22" s="17"/>
      <c r="AF22" s="52"/>
      <c r="AG22" s="44"/>
      <c r="AH22" s="16"/>
      <c r="AI22" s="17"/>
      <c r="AJ22" s="52"/>
      <c r="AK22" s="44"/>
      <c r="AL22" s="16"/>
      <c r="AM22" s="17"/>
      <c r="AN22" s="52"/>
      <c r="AO22" s="44"/>
      <c r="AP22" s="16"/>
      <c r="AQ22" s="17"/>
      <c r="AR22" s="52"/>
      <c r="AS22" s="44"/>
      <c r="AT22" s="16"/>
      <c r="AU22" s="17"/>
      <c r="AV22" s="52"/>
      <c r="AW22" s="44"/>
      <c r="AX22" s="16"/>
      <c r="AY22" s="17"/>
      <c r="AZ22" s="52"/>
      <c r="BA22" s="44"/>
      <c r="BB22" s="16"/>
      <c r="BC22" s="17"/>
      <c r="BD22" s="52"/>
      <c r="BE22" s="44"/>
      <c r="BF22" s="16"/>
      <c r="BG22" s="17"/>
      <c r="BH22" s="52"/>
      <c r="BI22" s="44"/>
      <c r="BJ22" s="16"/>
      <c r="BK22" s="17"/>
      <c r="BL22" s="52"/>
      <c r="BM22" s="44"/>
      <c r="BN22" s="16"/>
      <c r="BO22" s="17"/>
      <c r="BP22" s="52"/>
      <c r="BQ22" s="44"/>
      <c r="BR22" s="16"/>
      <c r="BS22" s="17"/>
      <c r="BT22" s="52"/>
      <c r="BU22" s="44"/>
      <c r="BV22" s="16"/>
      <c r="BW22" s="17"/>
      <c r="BX22" s="52"/>
      <c r="BY22" s="44"/>
      <c r="BZ22" s="16"/>
      <c r="CA22" s="17"/>
      <c r="CB22" s="52"/>
      <c r="CC22" s="44">
        <v>199</v>
      </c>
      <c r="CD22" s="16">
        <v>100232183759</v>
      </c>
      <c r="CE22" s="17" t="s">
        <v>36</v>
      </c>
      <c r="CF22" s="52" t="s">
        <v>36</v>
      </c>
      <c r="CG22" s="44">
        <v>199</v>
      </c>
      <c r="CH22" s="16">
        <v>100232183759</v>
      </c>
      <c r="CI22" s="17" t="s">
        <v>36</v>
      </c>
      <c r="CJ22" s="52" t="s">
        <v>36</v>
      </c>
      <c r="CK22" s="44">
        <v>199</v>
      </c>
      <c r="CL22" s="16">
        <v>100232183759</v>
      </c>
      <c r="CM22" s="17" t="s">
        <v>36</v>
      </c>
      <c r="CN22" s="52" t="s">
        <v>36</v>
      </c>
      <c r="CO22" s="44">
        <v>199</v>
      </c>
      <c r="CP22" s="16">
        <v>100232183759</v>
      </c>
      <c r="CQ22" s="17" t="s">
        <v>36</v>
      </c>
      <c r="CR22" s="52" t="s">
        <v>36</v>
      </c>
      <c r="CS22" s="44">
        <v>199</v>
      </c>
      <c r="CT22" s="16">
        <v>100232183759</v>
      </c>
      <c r="CU22" s="17" t="s">
        <v>36</v>
      </c>
      <c r="CV22" s="52" t="s">
        <v>36</v>
      </c>
      <c r="CW22" s="44">
        <v>199</v>
      </c>
      <c r="CX22" s="16">
        <v>100232183759</v>
      </c>
      <c r="CY22" s="17" t="s">
        <v>36</v>
      </c>
      <c r="CZ22" s="52" t="s">
        <v>36</v>
      </c>
      <c r="DA22" s="44">
        <v>199</v>
      </c>
      <c r="DB22" s="16">
        <v>100232183759</v>
      </c>
      <c r="DC22" s="17" t="s">
        <v>36</v>
      </c>
      <c r="DD22" s="52" t="s">
        <v>36</v>
      </c>
      <c r="DE22" s="44">
        <v>199</v>
      </c>
      <c r="DF22" s="16">
        <v>100232183759</v>
      </c>
      <c r="DG22" s="17" t="s">
        <v>36</v>
      </c>
      <c r="DH22" s="52" t="s">
        <v>36</v>
      </c>
      <c r="DI22" s="44">
        <v>199</v>
      </c>
      <c r="DJ22" s="16">
        <v>100232183759</v>
      </c>
      <c r="DK22" s="17" t="s">
        <v>36</v>
      </c>
      <c r="DL22" s="52" t="s">
        <v>36</v>
      </c>
      <c r="DM22" s="44">
        <v>199</v>
      </c>
      <c r="DN22" s="16">
        <v>100232183759</v>
      </c>
      <c r="DO22" s="17" t="s">
        <v>36</v>
      </c>
      <c r="DP22" s="52" t="s">
        <v>36</v>
      </c>
      <c r="DQ22" s="44">
        <v>199</v>
      </c>
      <c r="DR22" s="16">
        <v>100232183759</v>
      </c>
      <c r="DS22" s="17" t="s">
        <v>36</v>
      </c>
      <c r="DT22" s="52" t="s">
        <v>36</v>
      </c>
      <c r="DU22" s="44">
        <v>199</v>
      </c>
      <c r="DV22" s="16">
        <v>100232183759</v>
      </c>
      <c r="DW22" s="17" t="s">
        <v>36</v>
      </c>
      <c r="DX22" s="52" t="s">
        <v>36</v>
      </c>
      <c r="DY22" s="44">
        <v>199</v>
      </c>
      <c r="DZ22" s="16">
        <v>100232183759</v>
      </c>
      <c r="EA22" s="17" t="s">
        <v>36</v>
      </c>
      <c r="EB22" s="52" t="s">
        <v>36</v>
      </c>
      <c r="EC22" s="44">
        <v>199</v>
      </c>
      <c r="ED22" s="16">
        <v>100232183759</v>
      </c>
      <c r="EE22" s="17" t="s">
        <v>36</v>
      </c>
      <c r="EF22" s="52" t="s">
        <v>36</v>
      </c>
      <c r="EG22" s="44">
        <v>199</v>
      </c>
      <c r="EH22" s="16">
        <v>100232183759</v>
      </c>
      <c r="EI22" s="17" t="s">
        <v>36</v>
      </c>
      <c r="EJ22" s="52" t="s">
        <v>36</v>
      </c>
      <c r="EK22" s="44">
        <v>199</v>
      </c>
      <c r="EL22" s="16">
        <v>100232183759</v>
      </c>
      <c r="EM22" s="17" t="s">
        <v>36</v>
      </c>
      <c r="EN22" s="52" t="s">
        <v>36</v>
      </c>
      <c r="EO22" s="44">
        <v>199</v>
      </c>
      <c r="EP22" s="16">
        <v>100232183759</v>
      </c>
      <c r="EQ22" s="17" t="s">
        <v>36</v>
      </c>
      <c r="ER22" s="52" t="s">
        <v>36</v>
      </c>
      <c r="ES22" s="44">
        <v>199</v>
      </c>
      <c r="ET22" s="16">
        <v>100232183759</v>
      </c>
      <c r="EU22" s="17" t="s">
        <v>36</v>
      </c>
      <c r="EV22" s="52" t="s">
        <v>36</v>
      </c>
      <c r="EW22" s="44">
        <v>199</v>
      </c>
      <c r="EX22" s="16">
        <v>100232183759</v>
      </c>
      <c r="EY22" s="17" t="s">
        <v>36</v>
      </c>
      <c r="EZ22" s="52" t="s">
        <v>36</v>
      </c>
      <c r="FA22" s="44">
        <v>199</v>
      </c>
      <c r="FB22" s="16">
        <v>100232183759</v>
      </c>
      <c r="FC22" s="17" t="s">
        <v>36</v>
      </c>
      <c r="FD22" s="52" t="s">
        <v>36</v>
      </c>
      <c r="FE22" s="44">
        <v>199</v>
      </c>
      <c r="FF22" s="16">
        <v>100232183759</v>
      </c>
      <c r="FG22" s="17" t="s">
        <v>36</v>
      </c>
      <c r="FH22" s="52" t="s">
        <v>36</v>
      </c>
      <c r="FI22" s="44">
        <v>199</v>
      </c>
      <c r="FJ22" s="16">
        <v>100232183759</v>
      </c>
      <c r="FK22" s="17" t="s">
        <v>36</v>
      </c>
      <c r="FL22" s="52" t="s">
        <v>36</v>
      </c>
      <c r="FM22" s="44">
        <v>199</v>
      </c>
      <c r="FN22" s="16">
        <v>100232183759</v>
      </c>
      <c r="FO22" s="17" t="s">
        <v>36</v>
      </c>
      <c r="FP22" s="52" t="s">
        <v>36</v>
      </c>
      <c r="FQ22" s="44">
        <v>199</v>
      </c>
      <c r="FR22" s="16">
        <v>100232183759</v>
      </c>
      <c r="FS22" s="17" t="s">
        <v>36</v>
      </c>
      <c r="FT22" s="52" t="s">
        <v>36</v>
      </c>
      <c r="FU22" s="44">
        <v>199</v>
      </c>
      <c r="FV22" s="16">
        <v>100232183759</v>
      </c>
      <c r="FW22" s="17" t="s">
        <v>36</v>
      </c>
      <c r="FX22" s="52" t="s">
        <v>36</v>
      </c>
      <c r="FY22" s="44">
        <v>199</v>
      </c>
      <c r="FZ22" s="16">
        <v>100232183759</v>
      </c>
      <c r="GA22" s="17" t="s">
        <v>36</v>
      </c>
      <c r="GB22" s="52" t="s">
        <v>36</v>
      </c>
      <c r="GC22" s="44">
        <v>199</v>
      </c>
      <c r="GD22" s="16">
        <v>100232183759</v>
      </c>
      <c r="GE22" s="17" t="s">
        <v>36</v>
      </c>
      <c r="GF22" s="52" t="s">
        <v>36</v>
      </c>
      <c r="GG22" s="44">
        <v>199</v>
      </c>
      <c r="GH22" s="16">
        <v>100232183759</v>
      </c>
      <c r="GI22" s="17" t="s">
        <v>36</v>
      </c>
      <c r="GJ22" s="52" t="s">
        <v>36</v>
      </c>
      <c r="GK22" s="44">
        <v>199</v>
      </c>
      <c r="GL22" s="16">
        <v>100232183759</v>
      </c>
      <c r="GM22" s="17" t="s">
        <v>36</v>
      </c>
      <c r="GN22" s="52" t="s">
        <v>36</v>
      </c>
      <c r="GO22" s="44">
        <v>199</v>
      </c>
      <c r="GP22" s="16">
        <v>100232183759</v>
      </c>
      <c r="GQ22" s="17" t="s">
        <v>36</v>
      </c>
      <c r="GR22" s="52" t="s">
        <v>36</v>
      </c>
      <c r="GS22" s="44">
        <v>199</v>
      </c>
      <c r="GT22" s="16">
        <v>100232183759</v>
      </c>
      <c r="GU22" s="17" t="s">
        <v>36</v>
      </c>
      <c r="GV22" s="52" t="s">
        <v>36</v>
      </c>
      <c r="GW22" s="44">
        <v>199</v>
      </c>
      <c r="GX22" s="16">
        <v>100232183759</v>
      </c>
      <c r="GY22" s="17" t="s">
        <v>36</v>
      </c>
      <c r="GZ22" s="52" t="s">
        <v>36</v>
      </c>
      <c r="HA22" s="44">
        <v>199</v>
      </c>
      <c r="HB22" s="16">
        <v>100232183759</v>
      </c>
      <c r="HC22" s="17" t="s">
        <v>36</v>
      </c>
      <c r="HD22" s="52" t="s">
        <v>36</v>
      </c>
      <c r="HE22" s="44">
        <v>199</v>
      </c>
      <c r="HF22" s="16">
        <v>100232183759</v>
      </c>
      <c r="HG22" s="17" t="s">
        <v>36</v>
      </c>
      <c r="HH22" s="52" t="s">
        <v>36</v>
      </c>
      <c r="HI22" s="44">
        <v>199</v>
      </c>
      <c r="HJ22" s="16">
        <v>100232183759</v>
      </c>
      <c r="HK22" s="17" t="s">
        <v>36</v>
      </c>
      <c r="HL22" s="52" t="s">
        <v>36</v>
      </c>
      <c r="HM22" s="44">
        <v>199</v>
      </c>
      <c r="HN22" s="16">
        <v>100232183759</v>
      </c>
      <c r="HO22" s="17" t="s">
        <v>36</v>
      </c>
      <c r="HP22" s="52" t="s">
        <v>36</v>
      </c>
      <c r="HQ22" s="44">
        <v>199</v>
      </c>
      <c r="HR22" s="16">
        <v>100232183759</v>
      </c>
      <c r="HS22" s="17" t="s">
        <v>36</v>
      </c>
      <c r="HT22" s="52" t="s">
        <v>36</v>
      </c>
      <c r="HU22" s="44">
        <v>199</v>
      </c>
      <c r="HV22" s="16">
        <v>100232183759</v>
      </c>
      <c r="HW22" s="17" t="s">
        <v>36</v>
      </c>
      <c r="HX22" s="52" t="s">
        <v>36</v>
      </c>
      <c r="HY22" s="44">
        <v>199</v>
      </c>
      <c r="HZ22" s="16">
        <v>100232183759</v>
      </c>
      <c r="IA22" s="17" t="s">
        <v>36</v>
      </c>
      <c r="IB22" s="52" t="s">
        <v>36</v>
      </c>
      <c r="IC22" s="44">
        <v>199</v>
      </c>
      <c r="ID22" s="16">
        <v>100232183759</v>
      </c>
      <c r="IE22" s="17" t="s">
        <v>36</v>
      </c>
      <c r="IF22" s="52" t="s">
        <v>36</v>
      </c>
      <c r="IG22" s="44">
        <v>199</v>
      </c>
      <c r="IH22" s="16">
        <v>100232183759</v>
      </c>
      <c r="II22" s="17" t="s">
        <v>36</v>
      </c>
      <c r="IJ22" s="52" t="s">
        <v>36</v>
      </c>
      <c r="IK22" s="44">
        <v>199</v>
      </c>
      <c r="IL22" s="16">
        <v>100232183759</v>
      </c>
      <c r="IM22" s="17" t="s">
        <v>36</v>
      </c>
      <c r="IN22" s="52" t="s">
        <v>36</v>
      </c>
      <c r="IO22" s="44">
        <v>199</v>
      </c>
      <c r="IP22" s="16">
        <v>100232183759</v>
      </c>
      <c r="IQ22" s="17" t="s">
        <v>36</v>
      </c>
      <c r="IR22" s="52" t="s">
        <v>36</v>
      </c>
      <c r="IS22" s="44">
        <v>199</v>
      </c>
      <c r="IT22" s="16">
        <v>100232183759</v>
      </c>
      <c r="IU22" s="17" t="s">
        <v>36</v>
      </c>
      <c r="IV22" s="52" t="s">
        <v>36</v>
      </c>
    </row>
    <row r="23" spans="1:256" s="19" customFormat="1" ht="30" x14ac:dyDescent="0.25">
      <c r="A23" s="45">
        <v>204</v>
      </c>
      <c r="B23" s="57">
        <v>100232169483</v>
      </c>
      <c r="C23" s="58" t="s">
        <v>37</v>
      </c>
      <c r="D23" s="75" t="s">
        <v>38</v>
      </c>
      <c r="E23" s="50">
        <v>30</v>
      </c>
      <c r="F23" s="50">
        <v>5500</v>
      </c>
      <c r="G23" s="50">
        <v>5500</v>
      </c>
      <c r="H23" s="61">
        <f t="shared" si="0"/>
        <v>660</v>
      </c>
      <c r="I23" s="21">
        <f t="shared" si="1"/>
        <v>660</v>
      </c>
    </row>
    <row r="24" spans="1:256" s="19" customFormat="1" ht="15.75" x14ac:dyDescent="0.25">
      <c r="A24" s="45">
        <v>224</v>
      </c>
      <c r="B24" s="57">
        <v>100112371371</v>
      </c>
      <c r="C24" s="58" t="s">
        <v>39</v>
      </c>
      <c r="D24" s="77" t="s">
        <v>40</v>
      </c>
      <c r="E24" s="75">
        <v>30</v>
      </c>
      <c r="F24" s="77">
        <v>5500</v>
      </c>
      <c r="G24" s="77">
        <v>5500</v>
      </c>
      <c r="H24" s="61">
        <f t="shared" si="0"/>
        <v>660</v>
      </c>
      <c r="I24" s="21">
        <f>G24*12/100</f>
        <v>660</v>
      </c>
    </row>
    <row r="25" spans="1:256" s="19" customFormat="1" ht="15.75" x14ac:dyDescent="0.25">
      <c r="A25" s="45">
        <v>226</v>
      </c>
      <c r="B25" s="57">
        <v>100310052599</v>
      </c>
      <c r="C25" s="58" t="s">
        <v>41</v>
      </c>
      <c r="D25" s="78" t="s">
        <v>42</v>
      </c>
      <c r="E25" s="50">
        <v>30</v>
      </c>
      <c r="F25" s="77">
        <v>2500</v>
      </c>
      <c r="G25" s="77">
        <v>2500</v>
      </c>
      <c r="H25" s="61">
        <f t="shared" si="0"/>
        <v>300</v>
      </c>
      <c r="I25" s="21"/>
    </row>
    <row r="26" spans="1:256" s="19" customFormat="1" ht="15.75" x14ac:dyDescent="0.25">
      <c r="A26" s="45">
        <v>252</v>
      </c>
      <c r="B26" s="57">
        <v>100373345016</v>
      </c>
      <c r="C26" s="58" t="s">
        <v>43</v>
      </c>
      <c r="D26" s="79" t="s">
        <v>44</v>
      </c>
      <c r="E26" s="77">
        <v>30</v>
      </c>
      <c r="F26" s="80">
        <v>5500</v>
      </c>
      <c r="G26" s="80">
        <v>5500</v>
      </c>
      <c r="H26" s="61">
        <f t="shared" si="0"/>
        <v>660</v>
      </c>
      <c r="I26" s="21">
        <f>G26*12/100</f>
        <v>660</v>
      </c>
    </row>
    <row r="27" spans="1:256" s="19" customFormat="1" ht="15.75" x14ac:dyDescent="0.25">
      <c r="A27" s="45">
        <v>261</v>
      </c>
      <c r="B27" s="57">
        <v>100222141431</v>
      </c>
      <c r="C27" s="58" t="s">
        <v>45</v>
      </c>
      <c r="D27" s="81" t="s">
        <v>45</v>
      </c>
      <c r="E27" s="82">
        <v>30</v>
      </c>
      <c r="F27" s="80">
        <v>3525</v>
      </c>
      <c r="G27" s="80">
        <v>3525</v>
      </c>
      <c r="H27" s="61">
        <f t="shared" si="0"/>
        <v>423</v>
      </c>
      <c r="I27" s="21"/>
    </row>
    <row r="28" spans="1:256" s="19" customFormat="1" ht="15.75" x14ac:dyDescent="0.25">
      <c r="A28" s="45">
        <v>269</v>
      </c>
      <c r="B28" s="57">
        <v>100353847332</v>
      </c>
      <c r="C28" s="58" t="s">
        <v>46</v>
      </c>
      <c r="D28" s="83" t="s">
        <v>47</v>
      </c>
      <c r="E28" s="83">
        <v>30</v>
      </c>
      <c r="F28" s="84">
        <v>5500</v>
      </c>
      <c r="G28" s="84">
        <v>5500</v>
      </c>
      <c r="H28" s="61">
        <f t="shared" si="0"/>
        <v>660</v>
      </c>
      <c r="I28" s="21">
        <f t="shared" ref="I28:I58" si="2">G28*12/100</f>
        <v>660</v>
      </c>
    </row>
    <row r="29" spans="1:256" s="19" customFormat="1" ht="15.75" x14ac:dyDescent="0.25">
      <c r="A29" s="45">
        <v>309</v>
      </c>
      <c r="B29" s="57">
        <v>100353888563</v>
      </c>
      <c r="C29" s="58" t="s">
        <v>48</v>
      </c>
      <c r="D29" s="85" t="s">
        <v>48</v>
      </c>
      <c r="E29" s="83">
        <v>30</v>
      </c>
      <c r="F29" s="84">
        <v>5500</v>
      </c>
      <c r="G29" s="84">
        <v>5500</v>
      </c>
      <c r="H29" s="61">
        <f t="shared" si="0"/>
        <v>660</v>
      </c>
      <c r="I29" s="21"/>
    </row>
    <row r="30" spans="1:256" s="19" customFormat="1" ht="15.75" x14ac:dyDescent="0.25">
      <c r="A30" s="45">
        <v>321</v>
      </c>
      <c r="B30" s="57">
        <v>100354060655</v>
      </c>
      <c r="C30" s="58" t="s">
        <v>49</v>
      </c>
      <c r="D30" s="86" t="s">
        <v>50</v>
      </c>
      <c r="E30" s="83">
        <v>30</v>
      </c>
      <c r="F30" s="84">
        <v>2500</v>
      </c>
      <c r="G30" s="84">
        <v>2500</v>
      </c>
      <c r="H30" s="61">
        <f t="shared" si="0"/>
        <v>300</v>
      </c>
      <c r="I30" s="21"/>
    </row>
    <row r="31" spans="1:256" s="19" customFormat="1" ht="15.75" x14ac:dyDescent="0.25">
      <c r="A31" s="45">
        <v>324</v>
      </c>
      <c r="B31" s="57">
        <v>100366458827</v>
      </c>
      <c r="C31" s="58" t="s">
        <v>51</v>
      </c>
      <c r="D31" s="87" t="s">
        <v>52</v>
      </c>
      <c r="E31" s="88">
        <v>30</v>
      </c>
      <c r="F31" s="89">
        <v>5500</v>
      </c>
      <c r="G31" s="89">
        <v>5500</v>
      </c>
      <c r="H31" s="61">
        <f t="shared" si="0"/>
        <v>660</v>
      </c>
      <c r="I31" s="21">
        <f t="shared" si="2"/>
        <v>660</v>
      </c>
    </row>
    <row r="32" spans="1:256" s="19" customFormat="1" ht="26.25" x14ac:dyDescent="0.25">
      <c r="A32" s="45">
        <v>326</v>
      </c>
      <c r="B32" s="57">
        <v>100353855918</v>
      </c>
      <c r="C32" s="58" t="s">
        <v>53</v>
      </c>
      <c r="D32" s="90" t="s">
        <v>54</v>
      </c>
      <c r="E32" s="88">
        <v>30</v>
      </c>
      <c r="F32" s="89">
        <v>5500</v>
      </c>
      <c r="G32" s="89">
        <v>5500</v>
      </c>
      <c r="H32" s="61">
        <f t="shared" si="0"/>
        <v>660</v>
      </c>
      <c r="I32" s="21">
        <f t="shared" si="2"/>
        <v>660</v>
      </c>
    </row>
    <row r="33" spans="1:9" s="19" customFormat="1" ht="15.75" x14ac:dyDescent="0.25">
      <c r="A33" s="45">
        <v>335</v>
      </c>
      <c r="B33" s="57">
        <v>100353697416</v>
      </c>
      <c r="C33" s="58" t="s">
        <v>55</v>
      </c>
      <c r="D33" s="91" t="s">
        <v>56</v>
      </c>
      <c r="E33" s="88">
        <v>30</v>
      </c>
      <c r="F33" s="89">
        <v>2500</v>
      </c>
      <c r="G33" s="89">
        <v>2500</v>
      </c>
      <c r="H33" s="61">
        <f t="shared" si="0"/>
        <v>300</v>
      </c>
      <c r="I33" s="21"/>
    </row>
    <row r="34" spans="1:9" s="19" customFormat="1" ht="15.75" x14ac:dyDescent="0.25">
      <c r="A34" s="45">
        <v>337</v>
      </c>
      <c r="B34" s="57">
        <v>100353650100</v>
      </c>
      <c r="C34" s="58" t="s">
        <v>57</v>
      </c>
      <c r="D34" s="92" t="s">
        <v>58</v>
      </c>
      <c r="E34" s="88">
        <v>30</v>
      </c>
      <c r="F34" s="89">
        <v>5500</v>
      </c>
      <c r="G34" s="89">
        <v>5500</v>
      </c>
      <c r="H34" s="61">
        <f t="shared" si="0"/>
        <v>660</v>
      </c>
      <c r="I34" s="21">
        <f t="shared" si="2"/>
        <v>660</v>
      </c>
    </row>
    <row r="35" spans="1:9" s="19" customFormat="1" ht="15.75" x14ac:dyDescent="0.25">
      <c r="A35" s="45">
        <v>348</v>
      </c>
      <c r="B35" s="57">
        <v>100353616736</v>
      </c>
      <c r="C35" s="58" t="s">
        <v>59</v>
      </c>
      <c r="D35" s="93" t="s">
        <v>60</v>
      </c>
      <c r="E35" s="88">
        <v>30</v>
      </c>
      <c r="F35" s="89">
        <v>0</v>
      </c>
      <c r="G35" s="89">
        <v>0</v>
      </c>
      <c r="H35" s="61">
        <f t="shared" si="0"/>
        <v>0</v>
      </c>
      <c r="I35" s="21"/>
    </row>
    <row r="36" spans="1:9" s="19" customFormat="1" ht="15.75" x14ac:dyDescent="0.25">
      <c r="A36" s="45">
        <v>358</v>
      </c>
      <c r="B36" s="57">
        <v>100404638047</v>
      </c>
      <c r="C36" s="58" t="s">
        <v>61</v>
      </c>
      <c r="D36" s="94" t="s">
        <v>62</v>
      </c>
      <c r="E36" s="83">
        <v>30</v>
      </c>
      <c r="F36" s="89">
        <v>2500</v>
      </c>
      <c r="G36" s="89">
        <v>2500</v>
      </c>
      <c r="H36" s="61">
        <f t="shared" si="0"/>
        <v>300</v>
      </c>
      <c r="I36" s="21"/>
    </row>
    <row r="37" spans="1:9" s="19" customFormat="1" ht="15.75" x14ac:dyDescent="0.25">
      <c r="A37" s="45">
        <v>372</v>
      </c>
      <c r="B37" s="57">
        <v>100091836225</v>
      </c>
      <c r="C37" s="58" t="s">
        <v>63</v>
      </c>
      <c r="D37" s="95" t="s">
        <v>64</v>
      </c>
      <c r="E37" s="83">
        <v>30</v>
      </c>
      <c r="F37" s="96">
        <v>5500</v>
      </c>
      <c r="G37" s="96">
        <v>5500</v>
      </c>
      <c r="H37" s="61">
        <f t="shared" ref="H37:H62" si="3">G37*12/100</f>
        <v>660</v>
      </c>
      <c r="I37" s="21">
        <f t="shared" si="2"/>
        <v>660</v>
      </c>
    </row>
    <row r="38" spans="1:9" s="19" customFormat="1" ht="15.75" x14ac:dyDescent="0.25">
      <c r="A38" s="45">
        <v>378</v>
      </c>
      <c r="B38" s="57">
        <v>100283282515</v>
      </c>
      <c r="C38" s="58" t="s">
        <v>65</v>
      </c>
      <c r="D38" s="95" t="s">
        <v>65</v>
      </c>
      <c r="E38" s="83">
        <v>30</v>
      </c>
      <c r="F38" s="89">
        <v>5500</v>
      </c>
      <c r="G38" s="89">
        <v>5500</v>
      </c>
      <c r="H38" s="61">
        <f t="shared" si="3"/>
        <v>660</v>
      </c>
      <c r="I38" s="21">
        <f t="shared" si="2"/>
        <v>660</v>
      </c>
    </row>
    <row r="39" spans="1:9" s="19" customFormat="1" ht="15.75" x14ac:dyDescent="0.25">
      <c r="A39" s="45">
        <v>390</v>
      </c>
      <c r="B39" s="57">
        <v>100353938598</v>
      </c>
      <c r="C39" s="58" t="s">
        <v>66</v>
      </c>
      <c r="D39" s="92" t="s">
        <v>67</v>
      </c>
      <c r="E39" s="83">
        <v>30</v>
      </c>
      <c r="F39" s="88">
        <v>5500</v>
      </c>
      <c r="G39" s="88">
        <v>5500</v>
      </c>
      <c r="H39" s="61">
        <f t="shared" si="3"/>
        <v>660</v>
      </c>
      <c r="I39" s="21">
        <f t="shared" si="2"/>
        <v>660</v>
      </c>
    </row>
    <row r="40" spans="1:9" s="19" customFormat="1" ht="15.75" x14ac:dyDescent="0.25">
      <c r="A40" s="45">
        <v>391</v>
      </c>
      <c r="B40" s="57">
        <v>100353855034</v>
      </c>
      <c r="C40" s="58" t="s">
        <v>68</v>
      </c>
      <c r="D40" s="97" t="s">
        <v>69</v>
      </c>
      <c r="E40" s="83">
        <v>30</v>
      </c>
      <c r="F40" s="88">
        <v>3475</v>
      </c>
      <c r="G40" s="88">
        <v>3475</v>
      </c>
      <c r="H40" s="61">
        <f t="shared" si="3"/>
        <v>417</v>
      </c>
      <c r="I40" s="21"/>
    </row>
    <row r="41" spans="1:9" s="19" customFormat="1" ht="15.75" x14ac:dyDescent="0.25">
      <c r="A41" s="45">
        <v>400</v>
      </c>
      <c r="B41" s="57">
        <v>100358397938</v>
      </c>
      <c r="C41" s="58" t="s">
        <v>70</v>
      </c>
      <c r="D41" s="98" t="s">
        <v>71</v>
      </c>
      <c r="E41" s="83">
        <v>30</v>
      </c>
      <c r="F41" s="88">
        <v>5500</v>
      </c>
      <c r="G41" s="88">
        <v>5500</v>
      </c>
      <c r="H41" s="61">
        <f t="shared" si="3"/>
        <v>660</v>
      </c>
      <c r="I41" s="21">
        <f t="shared" si="2"/>
        <v>660</v>
      </c>
    </row>
    <row r="42" spans="1:9" s="19" customFormat="1" ht="18" x14ac:dyDescent="0.25">
      <c r="A42" s="45">
        <v>415</v>
      </c>
      <c r="B42" s="57">
        <v>100358404005</v>
      </c>
      <c r="C42" s="58" t="s">
        <v>72</v>
      </c>
      <c r="D42" s="99" t="s">
        <v>73</v>
      </c>
      <c r="E42" s="83">
        <v>30</v>
      </c>
      <c r="F42" s="88">
        <v>2500</v>
      </c>
      <c r="G42" s="88">
        <v>2500</v>
      </c>
      <c r="H42" s="61">
        <f t="shared" si="3"/>
        <v>300</v>
      </c>
      <c r="I42" s="21"/>
    </row>
    <row r="43" spans="1:9" s="19" customFormat="1" ht="15.75" x14ac:dyDescent="0.25">
      <c r="A43" s="45">
        <v>429</v>
      </c>
      <c r="B43" s="57">
        <v>100140247570</v>
      </c>
      <c r="C43" s="58" t="s">
        <v>74</v>
      </c>
      <c r="D43" s="55" t="s">
        <v>74</v>
      </c>
      <c r="E43" s="83">
        <v>30</v>
      </c>
      <c r="F43" s="88">
        <v>2500</v>
      </c>
      <c r="G43" s="88">
        <v>2500</v>
      </c>
      <c r="H43" s="61">
        <f t="shared" si="3"/>
        <v>300</v>
      </c>
      <c r="I43" s="21"/>
    </row>
    <row r="44" spans="1:9" s="19" customFormat="1" ht="16.5" x14ac:dyDescent="0.25">
      <c r="A44" s="45">
        <v>434</v>
      </c>
      <c r="B44" s="57">
        <v>100353735967</v>
      </c>
      <c r="C44" s="58" t="s">
        <v>75</v>
      </c>
      <c r="D44" s="100" t="s">
        <v>76</v>
      </c>
      <c r="E44" s="83">
        <v>30</v>
      </c>
      <c r="F44" s="54">
        <v>5500</v>
      </c>
      <c r="G44" s="54">
        <v>5500</v>
      </c>
      <c r="H44" s="61">
        <f t="shared" si="3"/>
        <v>660</v>
      </c>
      <c r="I44" s="21">
        <f t="shared" si="2"/>
        <v>660</v>
      </c>
    </row>
    <row r="45" spans="1:9" s="19" customFormat="1" ht="16.5" x14ac:dyDescent="0.25">
      <c r="A45" s="45">
        <v>435</v>
      </c>
      <c r="B45" s="57">
        <v>100358401923</v>
      </c>
      <c r="C45" s="58" t="s">
        <v>77</v>
      </c>
      <c r="D45" s="100" t="s">
        <v>78</v>
      </c>
      <c r="E45" s="83">
        <v>30</v>
      </c>
      <c r="F45" s="54">
        <v>2000</v>
      </c>
      <c r="G45" s="54">
        <v>2000</v>
      </c>
      <c r="H45" s="61">
        <f t="shared" si="3"/>
        <v>240</v>
      </c>
      <c r="I45" s="21">
        <f t="shared" si="2"/>
        <v>240</v>
      </c>
    </row>
    <row r="46" spans="1:9" s="19" customFormat="1" ht="18" x14ac:dyDescent="0.25">
      <c r="A46" s="45">
        <v>443</v>
      </c>
      <c r="B46" s="57">
        <v>100205552698</v>
      </c>
      <c r="C46" s="58" t="s">
        <v>79</v>
      </c>
      <c r="D46" s="101" t="s">
        <v>80</v>
      </c>
      <c r="E46" s="83">
        <v>30</v>
      </c>
      <c r="F46" s="102">
        <v>5500</v>
      </c>
      <c r="G46" s="102">
        <v>5500</v>
      </c>
      <c r="H46" s="61">
        <f t="shared" si="3"/>
        <v>660</v>
      </c>
      <c r="I46" s="21">
        <f t="shared" si="2"/>
        <v>660</v>
      </c>
    </row>
    <row r="47" spans="1:9" s="19" customFormat="1" ht="33" x14ac:dyDescent="0.25">
      <c r="A47" s="45">
        <v>447</v>
      </c>
      <c r="B47" s="57">
        <v>100134159284</v>
      </c>
      <c r="C47" s="58" t="s">
        <v>81</v>
      </c>
      <c r="D47" s="103" t="s">
        <v>81</v>
      </c>
      <c r="E47" s="83">
        <v>30</v>
      </c>
      <c r="F47" s="103">
        <v>5500</v>
      </c>
      <c r="G47" s="103">
        <v>5500</v>
      </c>
      <c r="H47" s="61">
        <f t="shared" si="3"/>
        <v>660</v>
      </c>
      <c r="I47" s="21">
        <f t="shared" si="2"/>
        <v>660</v>
      </c>
    </row>
    <row r="48" spans="1:9" s="19" customFormat="1" ht="15.75" x14ac:dyDescent="0.25">
      <c r="A48" s="45">
        <v>451</v>
      </c>
      <c r="B48" s="57">
        <v>100162007981</v>
      </c>
      <c r="C48" s="58" t="s">
        <v>82</v>
      </c>
      <c r="D48" s="51" t="s">
        <v>83</v>
      </c>
      <c r="E48" s="83">
        <v>30</v>
      </c>
      <c r="F48" s="104">
        <v>3195</v>
      </c>
      <c r="G48" s="104">
        <v>3195</v>
      </c>
      <c r="H48" s="61">
        <f t="shared" si="3"/>
        <v>383.4</v>
      </c>
      <c r="I48" s="21">
        <f t="shared" si="2"/>
        <v>383.4</v>
      </c>
    </row>
    <row r="49" spans="1:9" s="19" customFormat="1" ht="33" x14ac:dyDescent="0.25">
      <c r="A49" s="45">
        <v>455</v>
      </c>
      <c r="B49" s="57">
        <v>100333498650</v>
      </c>
      <c r="C49" s="58" t="s">
        <v>84</v>
      </c>
      <c r="D49" s="120" t="s">
        <v>84</v>
      </c>
      <c r="E49" s="83">
        <v>30</v>
      </c>
      <c r="F49" s="104">
        <v>2500</v>
      </c>
      <c r="G49" s="104">
        <v>2500</v>
      </c>
      <c r="H49" s="61">
        <f t="shared" si="3"/>
        <v>300</v>
      </c>
      <c r="I49" s="21"/>
    </row>
    <row r="50" spans="1:9" s="19" customFormat="1" ht="18" x14ac:dyDescent="0.25">
      <c r="A50" s="45">
        <v>466</v>
      </c>
      <c r="B50" s="57">
        <v>100232175087</v>
      </c>
      <c r="C50" s="58" t="s">
        <v>85</v>
      </c>
      <c r="D50" s="106" t="s">
        <v>86</v>
      </c>
      <c r="E50" s="83">
        <v>30</v>
      </c>
      <c r="F50" s="107">
        <v>3195</v>
      </c>
      <c r="G50" s="107">
        <v>3195</v>
      </c>
      <c r="H50" s="61">
        <f t="shared" si="3"/>
        <v>383.4</v>
      </c>
      <c r="I50" s="21">
        <f t="shared" si="2"/>
        <v>383.4</v>
      </c>
    </row>
    <row r="51" spans="1:9" s="19" customFormat="1" ht="15.75" x14ac:dyDescent="0.25">
      <c r="A51" s="45">
        <v>481</v>
      </c>
      <c r="B51" s="57">
        <v>100358411358</v>
      </c>
      <c r="C51" s="58" t="s">
        <v>88</v>
      </c>
      <c r="D51" s="108" t="s">
        <v>87</v>
      </c>
      <c r="E51" s="83">
        <v>30</v>
      </c>
      <c r="F51" s="109">
        <v>5500</v>
      </c>
      <c r="G51" s="109">
        <v>5500</v>
      </c>
      <c r="H51" s="61">
        <f t="shared" si="3"/>
        <v>660</v>
      </c>
      <c r="I51" s="21">
        <f t="shared" si="2"/>
        <v>660</v>
      </c>
    </row>
    <row r="52" spans="1:9" s="19" customFormat="1" ht="15.75" x14ac:dyDescent="0.25">
      <c r="A52" s="45">
        <v>482</v>
      </c>
      <c r="B52" s="57">
        <v>100353504634</v>
      </c>
      <c r="C52" s="58" t="s">
        <v>90</v>
      </c>
      <c r="D52" s="108" t="s">
        <v>89</v>
      </c>
      <c r="E52" s="83">
        <v>30</v>
      </c>
      <c r="F52" s="109">
        <v>5500</v>
      </c>
      <c r="G52" s="109">
        <v>5500</v>
      </c>
      <c r="H52" s="61">
        <f t="shared" si="3"/>
        <v>660</v>
      </c>
      <c r="I52" s="21">
        <f t="shared" si="2"/>
        <v>660</v>
      </c>
    </row>
    <row r="53" spans="1:9" s="19" customFormat="1" ht="15.75" x14ac:dyDescent="0.25">
      <c r="A53" s="45">
        <v>483</v>
      </c>
      <c r="B53" s="57">
        <v>100353780044</v>
      </c>
      <c r="C53" s="58" t="s">
        <v>92</v>
      </c>
      <c r="D53" s="108" t="s">
        <v>91</v>
      </c>
      <c r="E53" s="83">
        <v>30</v>
      </c>
      <c r="F53" s="109">
        <v>5500</v>
      </c>
      <c r="G53" s="109">
        <v>5500</v>
      </c>
      <c r="H53" s="61">
        <f t="shared" si="3"/>
        <v>660</v>
      </c>
      <c r="I53" s="21">
        <f t="shared" si="2"/>
        <v>660</v>
      </c>
    </row>
    <row r="54" spans="1:9" s="19" customFormat="1" ht="15.75" x14ac:dyDescent="0.25">
      <c r="A54" s="45">
        <v>485</v>
      </c>
      <c r="B54" s="57">
        <v>100236190637</v>
      </c>
      <c r="C54" s="58" t="s">
        <v>94</v>
      </c>
      <c r="D54" s="108" t="s">
        <v>93</v>
      </c>
      <c r="E54" s="83">
        <v>30</v>
      </c>
      <c r="F54" s="109">
        <v>5500</v>
      </c>
      <c r="G54" s="109">
        <v>5500</v>
      </c>
      <c r="H54" s="61">
        <f t="shared" si="3"/>
        <v>660</v>
      </c>
      <c r="I54" s="21">
        <f t="shared" si="2"/>
        <v>660</v>
      </c>
    </row>
    <row r="55" spans="1:9" s="42" customFormat="1" ht="15.75" x14ac:dyDescent="0.25">
      <c r="A55" s="45">
        <v>487</v>
      </c>
      <c r="B55" s="57">
        <v>100358418267</v>
      </c>
      <c r="C55" s="58" t="s">
        <v>96</v>
      </c>
      <c r="D55" s="108" t="s">
        <v>95</v>
      </c>
      <c r="E55" s="83">
        <v>30</v>
      </c>
      <c r="F55" s="109">
        <v>3475</v>
      </c>
      <c r="G55" s="109">
        <v>3475</v>
      </c>
      <c r="H55" s="61">
        <f t="shared" si="3"/>
        <v>417</v>
      </c>
      <c r="I55" s="21">
        <f t="shared" si="2"/>
        <v>417</v>
      </c>
    </row>
    <row r="56" spans="1:9" s="19" customFormat="1" ht="15.75" x14ac:dyDescent="0.25">
      <c r="A56" s="45">
        <v>491</v>
      </c>
      <c r="B56" s="57">
        <v>100353509071</v>
      </c>
      <c r="C56" s="58" t="s">
        <v>97</v>
      </c>
      <c r="D56" s="58" t="s">
        <v>97</v>
      </c>
      <c r="E56" s="83">
        <v>30</v>
      </c>
      <c r="F56" s="110">
        <v>3195</v>
      </c>
      <c r="G56" s="110">
        <v>3195</v>
      </c>
      <c r="H56" s="61">
        <f t="shared" si="3"/>
        <v>383.4</v>
      </c>
      <c r="I56" s="21">
        <f t="shared" si="2"/>
        <v>383.4</v>
      </c>
    </row>
    <row r="57" spans="1:9" s="19" customFormat="1" ht="15.75" x14ac:dyDescent="0.25">
      <c r="A57" s="45">
        <v>492</v>
      </c>
      <c r="B57" s="57">
        <v>100353508759</v>
      </c>
      <c r="C57" s="58" t="s">
        <v>98</v>
      </c>
      <c r="D57" s="58" t="s">
        <v>98</v>
      </c>
      <c r="E57" s="83">
        <v>30</v>
      </c>
      <c r="F57" s="110">
        <v>3195</v>
      </c>
      <c r="G57" s="110">
        <v>3195</v>
      </c>
      <c r="H57" s="61">
        <f t="shared" si="3"/>
        <v>383.4</v>
      </c>
      <c r="I57" s="21">
        <f t="shared" si="2"/>
        <v>383.4</v>
      </c>
    </row>
    <row r="58" spans="1:9" s="19" customFormat="1" ht="15.75" x14ac:dyDescent="0.25">
      <c r="A58" s="45">
        <v>493</v>
      </c>
      <c r="B58" s="57">
        <v>100353509419</v>
      </c>
      <c r="C58" s="58" t="s">
        <v>99</v>
      </c>
      <c r="D58" s="58" t="s">
        <v>99</v>
      </c>
      <c r="E58" s="83">
        <v>30</v>
      </c>
      <c r="F58" s="110">
        <v>3195</v>
      </c>
      <c r="G58" s="110">
        <v>3195</v>
      </c>
      <c r="H58" s="61">
        <f t="shared" si="3"/>
        <v>383.4</v>
      </c>
      <c r="I58" s="21">
        <f t="shared" si="2"/>
        <v>383.4</v>
      </c>
    </row>
    <row r="59" spans="1:9" s="19" customFormat="1" ht="15.75" x14ac:dyDescent="0.25">
      <c r="A59" s="45">
        <v>496</v>
      </c>
      <c r="B59" s="57">
        <v>100353505607</v>
      </c>
      <c r="C59" s="58" t="s">
        <v>100</v>
      </c>
      <c r="D59" s="58" t="s">
        <v>100</v>
      </c>
      <c r="E59" s="83">
        <v>30</v>
      </c>
      <c r="F59" s="110">
        <v>2000</v>
      </c>
      <c r="G59" s="110">
        <v>2000</v>
      </c>
      <c r="H59" s="61">
        <f t="shared" si="3"/>
        <v>240</v>
      </c>
      <c r="I59" s="21">
        <f>G59*12/100</f>
        <v>240</v>
      </c>
    </row>
    <row r="60" spans="1:9" s="19" customFormat="1" ht="15.75" x14ac:dyDescent="0.25">
      <c r="A60" s="45">
        <v>498</v>
      </c>
      <c r="B60" s="57">
        <v>100353509092</v>
      </c>
      <c r="C60" s="58" t="s">
        <v>101</v>
      </c>
      <c r="D60" s="58" t="s">
        <v>101</v>
      </c>
      <c r="E60" s="83">
        <v>30</v>
      </c>
      <c r="F60" s="110">
        <v>3195</v>
      </c>
      <c r="G60" s="110">
        <v>3195</v>
      </c>
      <c r="H60" s="61">
        <f t="shared" si="3"/>
        <v>383.4</v>
      </c>
      <c r="I60" s="21">
        <f>G60*12/100</f>
        <v>383.4</v>
      </c>
    </row>
    <row r="61" spans="1:9" s="19" customFormat="1" ht="15.75" x14ac:dyDescent="0.25">
      <c r="A61" s="45">
        <v>528</v>
      </c>
      <c r="B61" s="57">
        <v>100353982087</v>
      </c>
      <c r="C61" s="58" t="s">
        <v>102</v>
      </c>
      <c r="D61" s="111" t="s">
        <v>103</v>
      </c>
      <c r="E61" s="83">
        <v>30</v>
      </c>
      <c r="F61" s="110">
        <v>2500</v>
      </c>
      <c r="G61" s="110">
        <v>2500</v>
      </c>
      <c r="H61" s="61">
        <f t="shared" si="3"/>
        <v>300</v>
      </c>
      <c r="I61" s="21"/>
    </row>
    <row r="62" spans="1:9" s="19" customFormat="1" ht="15.75" x14ac:dyDescent="0.25">
      <c r="A62" s="45">
        <v>564</v>
      </c>
      <c r="B62" s="57">
        <v>100358576652</v>
      </c>
      <c r="C62" s="58" t="s">
        <v>104</v>
      </c>
      <c r="D62" s="86" t="s">
        <v>105</v>
      </c>
      <c r="E62" s="83">
        <v>30</v>
      </c>
      <c r="F62" s="112">
        <v>5500</v>
      </c>
      <c r="G62" s="112">
        <v>5500</v>
      </c>
      <c r="H62" s="61">
        <f t="shared" si="3"/>
        <v>660</v>
      </c>
      <c r="I62" s="21" t="e">
        <f>#REF!*12/100</f>
        <v>#REF!</v>
      </c>
    </row>
    <row r="63" spans="1:9" ht="29.25" customHeight="1" x14ac:dyDescent="0.25">
      <c r="A63" s="24"/>
      <c r="B63" s="25"/>
      <c r="C63" s="9"/>
      <c r="D63" s="31"/>
      <c r="E63" s="9"/>
      <c r="F63" s="56">
        <f>SUM(F3:F62)</f>
        <v>242339</v>
      </c>
      <c r="G63" s="56">
        <f>SUM(G3:G62)</f>
        <v>242339</v>
      </c>
      <c r="H63" s="56">
        <f>SUM(H3:H62)</f>
        <v>29080.680000000008</v>
      </c>
      <c r="I63" s="23"/>
    </row>
    <row r="64" spans="1:9" ht="17.25" x14ac:dyDescent="0.25">
      <c r="A64" s="24"/>
      <c r="B64" s="25"/>
      <c r="C64" s="26"/>
      <c r="D64" s="26"/>
      <c r="E64" s="27"/>
      <c r="F64" s="28"/>
      <c r="G64" s="29"/>
      <c r="H64" s="29"/>
      <c r="I64" s="23"/>
    </row>
    <row r="66" spans="1:14" x14ac:dyDescent="0.25">
      <c r="H66" s="36"/>
      <c r="I66" s="37"/>
    </row>
    <row r="67" spans="1:14" x14ac:dyDescent="0.25">
      <c r="A67" s="44"/>
      <c r="B67" s="16"/>
      <c r="C67" s="17"/>
      <c r="D67" s="53"/>
      <c r="E67" s="47"/>
    </row>
    <row r="68" spans="1:14" x14ac:dyDescent="0.25">
      <c r="I68" s="38"/>
    </row>
    <row r="70" spans="1:14" x14ac:dyDescent="0.25">
      <c r="F70" s="39"/>
      <c r="G70" s="39"/>
      <c r="I70" s="38"/>
    </row>
    <row r="72" spans="1:14" x14ac:dyDescent="0.25">
      <c r="F72" s="39"/>
    </row>
    <row r="73" spans="1:14" x14ac:dyDescent="0.25">
      <c r="F73" s="39"/>
    </row>
    <row r="74" spans="1:14" x14ac:dyDescent="0.25">
      <c r="G74" s="39"/>
    </row>
    <row r="75" spans="1:14" x14ac:dyDescent="0.25">
      <c r="F75" s="40"/>
      <c r="G75" s="40"/>
      <c r="I75" s="23"/>
    </row>
    <row r="76" spans="1:14" x14ac:dyDescent="0.25">
      <c r="F76" s="40"/>
      <c r="G76" s="41"/>
    </row>
    <row r="77" spans="1:14" x14ac:dyDescent="0.25">
      <c r="F77" s="40"/>
      <c r="G77" s="40"/>
      <c r="I77" s="23"/>
    </row>
    <row r="78" spans="1:14" ht="25.5" x14ac:dyDescent="0.25">
      <c r="A78" s="18" t="s">
        <v>106</v>
      </c>
      <c r="B78" s="20">
        <v>19250</v>
      </c>
      <c r="C78" s="20">
        <v>13960</v>
      </c>
      <c r="D78" s="20">
        <v>1800</v>
      </c>
      <c r="E78" s="30"/>
      <c r="F78" s="31"/>
      <c r="G78" s="31"/>
      <c r="H78" s="31"/>
      <c r="I78" s="32"/>
      <c r="J78" s="33"/>
      <c r="K78" s="40"/>
      <c r="L78" s="40"/>
      <c r="M78" s="35"/>
      <c r="N78" s="22"/>
    </row>
    <row r="80" spans="1:14" x14ac:dyDescent="0.25">
      <c r="E80" s="33">
        <v>42983</v>
      </c>
      <c r="F80" s="34">
        <v>17783</v>
      </c>
      <c r="G80" s="34">
        <f>E80-F80</f>
        <v>25200</v>
      </c>
    </row>
    <row r="81" spans="2:9" x14ac:dyDescent="0.25">
      <c r="G81" s="34">
        <v>18114</v>
      </c>
    </row>
    <row r="82" spans="2:9" x14ac:dyDescent="0.25">
      <c r="G82" s="34">
        <f>SUM(G80:G81)</f>
        <v>43314</v>
      </c>
      <c r="H82" s="35">
        <v>42728</v>
      </c>
      <c r="I82" s="22">
        <f>G82-H82</f>
        <v>586</v>
      </c>
    </row>
    <row r="86" spans="2:9" s="30" customFormat="1" x14ac:dyDescent="0.25">
      <c r="B86" s="31"/>
      <c r="C86" s="31"/>
      <c r="D86" s="32"/>
      <c r="E86" s="33"/>
      <c r="F86" s="34"/>
      <c r="G86" s="34"/>
      <c r="H86" s="35"/>
      <c r="I86" s="22"/>
    </row>
    <row r="117" spans="2:9" s="30" customFormat="1" x14ac:dyDescent="0.25">
      <c r="B117" s="31"/>
      <c r="C117" s="31"/>
      <c r="D117" s="32"/>
      <c r="E117" s="33"/>
      <c r="F117" s="34"/>
      <c r="G117" s="34"/>
      <c r="H117" s="35"/>
      <c r="I117" s="22"/>
    </row>
    <row r="172" spans="2:9" s="30" customFormat="1" x14ac:dyDescent="0.25">
      <c r="B172" s="31"/>
      <c r="C172" s="31"/>
      <c r="D172" s="32"/>
      <c r="E172" s="33"/>
      <c r="F172" s="34"/>
      <c r="G172" s="34"/>
      <c r="H172" s="35"/>
      <c r="I172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72"/>
  <sheetViews>
    <sheetView tabSelected="1" zoomScale="115" zoomScaleNormal="115" workbookViewId="0">
      <selection activeCell="I3" sqref="I3:I17"/>
    </sheetView>
  </sheetViews>
  <sheetFormatPr defaultRowHeight="18.75" x14ac:dyDescent="0.25"/>
  <cols>
    <col min="1" max="1" width="8.5703125" style="30" customWidth="1"/>
    <col min="2" max="2" width="19.140625" style="31" customWidth="1"/>
    <col min="3" max="3" width="31.28515625" style="31" customWidth="1"/>
    <col min="4" max="4" width="29.42578125" style="32" customWidth="1"/>
    <col min="5" max="5" width="8.28515625" style="33" customWidth="1"/>
    <col min="6" max="7" width="12.42578125" style="34" customWidth="1"/>
    <col min="8" max="8" width="9.5703125" style="35" bestFit="1" customWidth="1"/>
    <col min="9" max="9" width="9.140625" style="22"/>
    <col min="10" max="16384" width="9.140625" style="9"/>
  </cols>
  <sheetData>
    <row r="1" spans="1:9" x14ac:dyDescent="0.25">
      <c r="A1" s="1">
        <v>39873</v>
      </c>
      <c r="B1" s="2"/>
      <c r="C1" s="2"/>
      <c r="D1" s="3"/>
      <c r="E1" s="4"/>
      <c r="F1" s="5"/>
      <c r="G1" s="6"/>
      <c r="H1" s="7"/>
      <c r="I1" s="8"/>
    </row>
    <row r="2" spans="1:9" ht="30" x14ac:dyDescent="0.25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5" t="s">
        <v>8</v>
      </c>
    </row>
    <row r="3" spans="1:9" s="19" customFormat="1" ht="15.75" x14ac:dyDescent="0.25">
      <c r="A3" s="45">
        <v>3</v>
      </c>
      <c r="B3" s="57">
        <v>100394294297</v>
      </c>
      <c r="C3" s="58" t="s">
        <v>9</v>
      </c>
      <c r="D3" s="59" t="s">
        <v>9</v>
      </c>
      <c r="E3" s="60">
        <v>30</v>
      </c>
      <c r="F3" s="61">
        <v>5500</v>
      </c>
      <c r="G3" s="61">
        <v>5500</v>
      </c>
      <c r="H3" s="61">
        <f>G3*12/100</f>
        <v>660</v>
      </c>
      <c r="I3" s="21"/>
    </row>
    <row r="4" spans="1:9" s="19" customFormat="1" ht="15.75" x14ac:dyDescent="0.25">
      <c r="A4" s="45">
        <v>4</v>
      </c>
      <c r="B4" s="57">
        <v>100274366724</v>
      </c>
      <c r="C4" s="58" t="s">
        <v>10</v>
      </c>
      <c r="D4" s="59" t="s">
        <v>10</v>
      </c>
      <c r="E4" s="60">
        <v>30</v>
      </c>
      <c r="F4" s="61">
        <v>5500</v>
      </c>
      <c r="G4" s="61">
        <v>5500</v>
      </c>
      <c r="H4" s="61">
        <f t="shared" ref="H4:H62" si="0">G4*12/100</f>
        <v>660</v>
      </c>
      <c r="I4" s="21"/>
    </row>
    <row r="5" spans="1:9" s="19" customFormat="1" ht="15.75" x14ac:dyDescent="0.25">
      <c r="A5" s="45">
        <v>23</v>
      </c>
      <c r="B5" s="57">
        <v>100353887786</v>
      </c>
      <c r="C5" s="58" t="s">
        <v>11</v>
      </c>
      <c r="D5" s="60" t="s">
        <v>12</v>
      </c>
      <c r="E5" s="60">
        <v>30</v>
      </c>
      <c r="F5" s="62">
        <v>2500</v>
      </c>
      <c r="G5" s="62">
        <v>2500</v>
      </c>
      <c r="H5" s="61">
        <f t="shared" si="0"/>
        <v>300</v>
      </c>
      <c r="I5" s="21"/>
    </row>
    <row r="6" spans="1:9" s="19" customFormat="1" ht="15.75" x14ac:dyDescent="0.25">
      <c r="A6" s="45">
        <v>38</v>
      </c>
      <c r="B6" s="57">
        <v>100217136235</v>
      </c>
      <c r="C6" s="58" t="s">
        <v>13</v>
      </c>
      <c r="D6" s="63" t="s">
        <v>14</v>
      </c>
      <c r="E6" s="59">
        <v>30</v>
      </c>
      <c r="F6" s="62">
        <v>2500</v>
      </c>
      <c r="G6" s="62">
        <v>2500</v>
      </c>
      <c r="H6" s="61">
        <f t="shared" si="0"/>
        <v>300</v>
      </c>
      <c r="I6" s="21"/>
    </row>
    <row r="7" spans="1:9" s="19" customFormat="1" ht="25.5" x14ac:dyDescent="0.25">
      <c r="A7" s="45">
        <v>50</v>
      </c>
      <c r="B7" s="57">
        <v>100253724762</v>
      </c>
      <c r="C7" s="58" t="s">
        <v>15</v>
      </c>
      <c r="D7" s="64" t="s">
        <v>16</v>
      </c>
      <c r="E7" s="65">
        <v>30</v>
      </c>
      <c r="F7" s="64">
        <v>5500</v>
      </c>
      <c r="G7" s="64">
        <v>5500</v>
      </c>
      <c r="H7" s="61">
        <f t="shared" si="0"/>
        <v>660</v>
      </c>
      <c r="I7" s="21"/>
    </row>
    <row r="8" spans="1:9" s="19" customFormat="1" ht="15.75" x14ac:dyDescent="0.25">
      <c r="A8" s="45">
        <v>72</v>
      </c>
      <c r="B8" s="57">
        <v>100357142484</v>
      </c>
      <c r="C8" s="58" t="s">
        <v>17</v>
      </c>
      <c r="D8" s="66" t="s">
        <v>17</v>
      </c>
      <c r="E8" s="65">
        <v>30</v>
      </c>
      <c r="F8" s="64">
        <v>2500</v>
      </c>
      <c r="G8" s="64">
        <v>2500</v>
      </c>
      <c r="H8" s="61">
        <f t="shared" si="0"/>
        <v>300</v>
      </c>
      <c r="I8" s="21"/>
    </row>
    <row r="9" spans="1:9" s="19" customFormat="1" ht="15.75" x14ac:dyDescent="0.25">
      <c r="A9" s="45">
        <v>82</v>
      </c>
      <c r="B9" s="57">
        <v>100337411384</v>
      </c>
      <c r="C9" s="58" t="s">
        <v>18</v>
      </c>
      <c r="D9" s="67" t="s">
        <v>18</v>
      </c>
      <c r="E9" s="65">
        <v>29</v>
      </c>
      <c r="F9" s="64">
        <v>3195</v>
      </c>
      <c r="G9" s="64">
        <v>3195</v>
      </c>
      <c r="H9" s="61">
        <f t="shared" si="0"/>
        <v>383.4</v>
      </c>
      <c r="I9" s="21"/>
    </row>
    <row r="10" spans="1:9" s="19" customFormat="1" ht="15.75" x14ac:dyDescent="0.25">
      <c r="A10" s="45">
        <v>90</v>
      </c>
      <c r="B10" s="57">
        <v>100233211212</v>
      </c>
      <c r="C10" s="58" t="s">
        <v>19</v>
      </c>
      <c r="D10" s="66" t="s">
        <v>20</v>
      </c>
      <c r="E10" s="65">
        <v>30</v>
      </c>
      <c r="F10" s="64">
        <v>2500</v>
      </c>
      <c r="G10" s="64">
        <v>2500</v>
      </c>
      <c r="H10" s="61">
        <f t="shared" si="0"/>
        <v>300</v>
      </c>
      <c r="I10" s="21"/>
    </row>
    <row r="11" spans="1:9" s="19" customFormat="1" ht="15.75" x14ac:dyDescent="0.25">
      <c r="A11" s="45">
        <v>96</v>
      </c>
      <c r="B11" s="57">
        <v>100071591724</v>
      </c>
      <c r="C11" s="58" t="s">
        <v>21</v>
      </c>
      <c r="D11" s="65" t="s">
        <v>21</v>
      </c>
      <c r="E11" s="65">
        <v>30</v>
      </c>
      <c r="F11" s="64">
        <v>5500</v>
      </c>
      <c r="G11" s="64">
        <v>5500</v>
      </c>
      <c r="H11" s="61">
        <f t="shared" si="0"/>
        <v>660</v>
      </c>
      <c r="I11" s="21"/>
    </row>
    <row r="12" spans="1:9" s="19" customFormat="1" ht="15.75" x14ac:dyDescent="0.25">
      <c r="A12" s="45">
        <v>104</v>
      </c>
      <c r="B12" s="57">
        <v>100373767209</v>
      </c>
      <c r="C12" s="58" t="s">
        <v>22</v>
      </c>
      <c r="D12" s="68" t="s">
        <v>23</v>
      </c>
      <c r="E12" s="65">
        <v>30</v>
      </c>
      <c r="F12" s="64">
        <v>2500</v>
      </c>
      <c r="G12" s="64">
        <v>2500</v>
      </c>
      <c r="H12" s="61">
        <f t="shared" si="0"/>
        <v>300</v>
      </c>
      <c r="I12" s="21"/>
    </row>
    <row r="13" spans="1:9" s="19" customFormat="1" ht="15.75" x14ac:dyDescent="0.25">
      <c r="A13" s="45">
        <v>112</v>
      </c>
      <c r="B13" s="57">
        <v>100353622159</v>
      </c>
      <c r="C13" s="58" t="s">
        <v>24</v>
      </c>
      <c r="D13" s="65" t="s">
        <v>25</v>
      </c>
      <c r="E13" s="48">
        <v>30</v>
      </c>
      <c r="F13" s="48">
        <v>5500</v>
      </c>
      <c r="G13" s="48">
        <v>5500</v>
      </c>
      <c r="H13" s="61">
        <f t="shared" si="0"/>
        <v>660</v>
      </c>
      <c r="I13" s="21"/>
    </row>
    <row r="14" spans="1:9" s="19" customFormat="1" ht="15.75" x14ac:dyDescent="0.25">
      <c r="A14" s="45">
        <v>126</v>
      </c>
      <c r="B14" s="57">
        <v>100358535750</v>
      </c>
      <c r="C14" s="58" t="s">
        <v>26</v>
      </c>
      <c r="D14" s="51" t="s">
        <v>27</v>
      </c>
      <c r="E14" s="69">
        <v>30</v>
      </c>
      <c r="F14" s="70">
        <v>5500</v>
      </c>
      <c r="G14" s="70">
        <v>5500</v>
      </c>
      <c r="H14" s="61">
        <f t="shared" si="0"/>
        <v>660</v>
      </c>
      <c r="I14" s="21"/>
    </row>
    <row r="15" spans="1:9" s="19" customFormat="1" ht="15.75" x14ac:dyDescent="0.25">
      <c r="A15" s="45">
        <v>134</v>
      </c>
      <c r="B15" s="57">
        <v>100084707366</v>
      </c>
      <c r="C15" s="58" t="s">
        <v>28</v>
      </c>
      <c r="D15" s="71" t="s">
        <v>28</v>
      </c>
      <c r="E15" s="48">
        <v>30</v>
      </c>
      <c r="F15" s="69">
        <v>3499</v>
      </c>
      <c r="G15" s="69">
        <v>3499</v>
      </c>
      <c r="H15" s="61">
        <f t="shared" si="0"/>
        <v>419.88</v>
      </c>
      <c r="I15" s="21"/>
    </row>
    <row r="16" spans="1:9" s="19" customFormat="1" ht="15.75" x14ac:dyDescent="0.25">
      <c r="A16" s="45">
        <v>136</v>
      </c>
      <c r="B16" s="57">
        <v>100167059875</v>
      </c>
      <c r="C16" s="58" t="s">
        <v>29</v>
      </c>
      <c r="D16" s="65" t="s">
        <v>30</v>
      </c>
      <c r="E16" s="48">
        <v>30</v>
      </c>
      <c r="F16" s="49">
        <v>5500</v>
      </c>
      <c r="G16" s="49">
        <v>5500</v>
      </c>
      <c r="H16" s="61">
        <f t="shared" si="0"/>
        <v>660</v>
      </c>
      <c r="I16" s="21"/>
    </row>
    <row r="17" spans="1:256" s="19" customFormat="1" ht="15.75" x14ac:dyDescent="0.25">
      <c r="A17" s="45">
        <v>149</v>
      </c>
      <c r="B17" s="57">
        <v>100333985226</v>
      </c>
      <c r="C17" s="58" t="s">
        <v>31</v>
      </c>
      <c r="D17" s="51" t="s">
        <v>32</v>
      </c>
      <c r="E17" s="72">
        <v>30</v>
      </c>
      <c r="F17" s="72">
        <v>2000</v>
      </c>
      <c r="G17" s="72">
        <v>2000</v>
      </c>
      <c r="H17" s="61">
        <f t="shared" si="0"/>
        <v>240</v>
      </c>
      <c r="I17" s="21"/>
    </row>
    <row r="18" spans="1:256" s="19" customFormat="1" ht="15.75" x14ac:dyDescent="0.25">
      <c r="A18" s="45">
        <v>169</v>
      </c>
      <c r="B18" s="57">
        <v>100112097052</v>
      </c>
      <c r="C18" s="58" t="s">
        <v>116</v>
      </c>
      <c r="D18" s="73" t="s">
        <v>117</v>
      </c>
      <c r="E18" s="60">
        <v>30</v>
      </c>
      <c r="F18" s="74">
        <v>5500</v>
      </c>
      <c r="G18" s="74">
        <v>5500</v>
      </c>
      <c r="H18" s="61">
        <f t="shared" si="0"/>
        <v>660</v>
      </c>
      <c r="I18" s="21"/>
    </row>
    <row r="19" spans="1:256" s="19" customFormat="1" ht="15.75" x14ac:dyDescent="0.25">
      <c r="A19" s="45">
        <v>186</v>
      </c>
      <c r="B19" s="57">
        <v>100353962659</v>
      </c>
      <c r="C19" s="58" t="s">
        <v>118</v>
      </c>
      <c r="D19" s="51" t="s">
        <v>119</v>
      </c>
      <c r="E19" s="72">
        <v>30</v>
      </c>
      <c r="F19" s="72">
        <v>2500</v>
      </c>
      <c r="G19" s="72">
        <v>2500</v>
      </c>
      <c r="H19" s="61">
        <f t="shared" si="0"/>
        <v>300</v>
      </c>
      <c r="I19" s="21"/>
    </row>
    <row r="20" spans="1:256" s="19" customFormat="1" ht="15.75" x14ac:dyDescent="0.25">
      <c r="A20" s="45">
        <v>191</v>
      </c>
      <c r="B20" s="57">
        <v>100094359606</v>
      </c>
      <c r="C20" s="58" t="s">
        <v>33</v>
      </c>
      <c r="D20" s="75" t="s">
        <v>33</v>
      </c>
      <c r="E20" s="75">
        <v>30</v>
      </c>
      <c r="F20" s="75">
        <v>2500</v>
      </c>
      <c r="G20" s="75">
        <v>2500</v>
      </c>
      <c r="H20" s="61">
        <f t="shared" si="0"/>
        <v>300</v>
      </c>
      <c r="I20" s="21">
        <f t="shared" ref="I20:I23" si="1">G20*12/100</f>
        <v>300</v>
      </c>
    </row>
    <row r="21" spans="1:256" s="19" customFormat="1" ht="15.75" x14ac:dyDescent="0.25">
      <c r="A21" s="45">
        <v>195</v>
      </c>
      <c r="B21" s="57">
        <v>100235466823</v>
      </c>
      <c r="C21" s="58" t="s">
        <v>34</v>
      </c>
      <c r="D21" s="75" t="s">
        <v>35</v>
      </c>
      <c r="E21" s="75">
        <v>30</v>
      </c>
      <c r="F21" s="75">
        <v>5500</v>
      </c>
      <c r="G21" s="75">
        <v>5500</v>
      </c>
      <c r="H21" s="61">
        <f t="shared" si="0"/>
        <v>660</v>
      </c>
      <c r="I21" s="21">
        <f t="shared" si="1"/>
        <v>660</v>
      </c>
    </row>
    <row r="22" spans="1:256" s="19" customFormat="1" ht="16.5" customHeight="1" x14ac:dyDescent="0.25">
      <c r="A22" s="45">
        <v>199</v>
      </c>
      <c r="B22" s="57">
        <v>100232183759</v>
      </c>
      <c r="C22" s="58" t="s">
        <v>36</v>
      </c>
      <c r="D22" s="76" t="s">
        <v>36</v>
      </c>
      <c r="E22" s="45">
        <v>30</v>
      </c>
      <c r="F22" s="57">
        <v>3575</v>
      </c>
      <c r="G22" s="57">
        <v>3575</v>
      </c>
      <c r="H22" s="61">
        <f t="shared" si="0"/>
        <v>429</v>
      </c>
      <c r="I22" s="44"/>
      <c r="J22" s="16"/>
      <c r="K22" s="17"/>
      <c r="L22" s="52"/>
      <c r="M22" s="44"/>
      <c r="N22" s="16"/>
      <c r="O22" s="17"/>
      <c r="P22" s="52"/>
      <c r="Q22" s="44"/>
      <c r="R22" s="16"/>
      <c r="S22" s="17"/>
      <c r="T22" s="52"/>
      <c r="U22" s="44"/>
      <c r="V22" s="16"/>
      <c r="W22" s="17"/>
      <c r="X22" s="52"/>
      <c r="Y22" s="44"/>
      <c r="Z22" s="16"/>
      <c r="AA22" s="17"/>
      <c r="AB22" s="52"/>
      <c r="AC22" s="44"/>
      <c r="AD22" s="16"/>
      <c r="AE22" s="17"/>
      <c r="AF22" s="52"/>
      <c r="AG22" s="44"/>
      <c r="AH22" s="16"/>
      <c r="AI22" s="17"/>
      <c r="AJ22" s="52"/>
      <c r="AK22" s="44"/>
      <c r="AL22" s="16"/>
      <c r="AM22" s="17"/>
      <c r="AN22" s="52"/>
      <c r="AO22" s="44"/>
      <c r="AP22" s="16"/>
      <c r="AQ22" s="17"/>
      <c r="AR22" s="52"/>
      <c r="AS22" s="44"/>
      <c r="AT22" s="16"/>
      <c r="AU22" s="17"/>
      <c r="AV22" s="52"/>
      <c r="AW22" s="44"/>
      <c r="AX22" s="16"/>
      <c r="AY22" s="17"/>
      <c r="AZ22" s="52"/>
      <c r="BA22" s="44"/>
      <c r="BB22" s="16"/>
      <c r="BC22" s="17"/>
      <c r="BD22" s="52"/>
      <c r="BE22" s="44"/>
      <c r="BF22" s="16"/>
      <c r="BG22" s="17"/>
      <c r="BH22" s="52"/>
      <c r="BI22" s="44"/>
      <c r="BJ22" s="16"/>
      <c r="BK22" s="17"/>
      <c r="BL22" s="52"/>
      <c r="BM22" s="44"/>
      <c r="BN22" s="16"/>
      <c r="BO22" s="17"/>
      <c r="BP22" s="52"/>
      <c r="BQ22" s="44"/>
      <c r="BR22" s="16"/>
      <c r="BS22" s="17"/>
      <c r="BT22" s="52"/>
      <c r="BU22" s="44"/>
      <c r="BV22" s="16"/>
      <c r="BW22" s="17"/>
      <c r="BX22" s="52"/>
      <c r="BY22" s="44"/>
      <c r="BZ22" s="16"/>
      <c r="CA22" s="17"/>
      <c r="CB22" s="52"/>
      <c r="CC22" s="44">
        <v>199</v>
      </c>
      <c r="CD22" s="16">
        <v>100232183759</v>
      </c>
      <c r="CE22" s="17" t="s">
        <v>36</v>
      </c>
      <c r="CF22" s="52" t="s">
        <v>36</v>
      </c>
      <c r="CG22" s="44">
        <v>199</v>
      </c>
      <c r="CH22" s="16">
        <v>100232183759</v>
      </c>
      <c r="CI22" s="17" t="s">
        <v>36</v>
      </c>
      <c r="CJ22" s="52" t="s">
        <v>36</v>
      </c>
      <c r="CK22" s="44">
        <v>199</v>
      </c>
      <c r="CL22" s="16">
        <v>100232183759</v>
      </c>
      <c r="CM22" s="17" t="s">
        <v>36</v>
      </c>
      <c r="CN22" s="52" t="s">
        <v>36</v>
      </c>
      <c r="CO22" s="44">
        <v>199</v>
      </c>
      <c r="CP22" s="16">
        <v>100232183759</v>
      </c>
      <c r="CQ22" s="17" t="s">
        <v>36</v>
      </c>
      <c r="CR22" s="52" t="s">
        <v>36</v>
      </c>
      <c r="CS22" s="44">
        <v>199</v>
      </c>
      <c r="CT22" s="16">
        <v>100232183759</v>
      </c>
      <c r="CU22" s="17" t="s">
        <v>36</v>
      </c>
      <c r="CV22" s="52" t="s">
        <v>36</v>
      </c>
      <c r="CW22" s="44">
        <v>199</v>
      </c>
      <c r="CX22" s="16">
        <v>100232183759</v>
      </c>
      <c r="CY22" s="17" t="s">
        <v>36</v>
      </c>
      <c r="CZ22" s="52" t="s">
        <v>36</v>
      </c>
      <c r="DA22" s="44">
        <v>199</v>
      </c>
      <c r="DB22" s="16">
        <v>100232183759</v>
      </c>
      <c r="DC22" s="17" t="s">
        <v>36</v>
      </c>
      <c r="DD22" s="52" t="s">
        <v>36</v>
      </c>
      <c r="DE22" s="44">
        <v>199</v>
      </c>
      <c r="DF22" s="16">
        <v>100232183759</v>
      </c>
      <c r="DG22" s="17" t="s">
        <v>36</v>
      </c>
      <c r="DH22" s="52" t="s">
        <v>36</v>
      </c>
      <c r="DI22" s="44">
        <v>199</v>
      </c>
      <c r="DJ22" s="16">
        <v>100232183759</v>
      </c>
      <c r="DK22" s="17" t="s">
        <v>36</v>
      </c>
      <c r="DL22" s="52" t="s">
        <v>36</v>
      </c>
      <c r="DM22" s="44">
        <v>199</v>
      </c>
      <c r="DN22" s="16">
        <v>100232183759</v>
      </c>
      <c r="DO22" s="17" t="s">
        <v>36</v>
      </c>
      <c r="DP22" s="52" t="s">
        <v>36</v>
      </c>
      <c r="DQ22" s="44">
        <v>199</v>
      </c>
      <c r="DR22" s="16">
        <v>100232183759</v>
      </c>
      <c r="DS22" s="17" t="s">
        <v>36</v>
      </c>
      <c r="DT22" s="52" t="s">
        <v>36</v>
      </c>
      <c r="DU22" s="44">
        <v>199</v>
      </c>
      <c r="DV22" s="16">
        <v>100232183759</v>
      </c>
      <c r="DW22" s="17" t="s">
        <v>36</v>
      </c>
      <c r="DX22" s="52" t="s">
        <v>36</v>
      </c>
      <c r="DY22" s="44">
        <v>199</v>
      </c>
      <c r="DZ22" s="16">
        <v>100232183759</v>
      </c>
      <c r="EA22" s="17" t="s">
        <v>36</v>
      </c>
      <c r="EB22" s="52" t="s">
        <v>36</v>
      </c>
      <c r="EC22" s="44">
        <v>199</v>
      </c>
      <c r="ED22" s="16">
        <v>100232183759</v>
      </c>
      <c r="EE22" s="17" t="s">
        <v>36</v>
      </c>
      <c r="EF22" s="52" t="s">
        <v>36</v>
      </c>
      <c r="EG22" s="44">
        <v>199</v>
      </c>
      <c r="EH22" s="16">
        <v>100232183759</v>
      </c>
      <c r="EI22" s="17" t="s">
        <v>36</v>
      </c>
      <c r="EJ22" s="52" t="s">
        <v>36</v>
      </c>
      <c r="EK22" s="44">
        <v>199</v>
      </c>
      <c r="EL22" s="16">
        <v>100232183759</v>
      </c>
      <c r="EM22" s="17" t="s">
        <v>36</v>
      </c>
      <c r="EN22" s="52" t="s">
        <v>36</v>
      </c>
      <c r="EO22" s="44">
        <v>199</v>
      </c>
      <c r="EP22" s="16">
        <v>100232183759</v>
      </c>
      <c r="EQ22" s="17" t="s">
        <v>36</v>
      </c>
      <c r="ER22" s="52" t="s">
        <v>36</v>
      </c>
      <c r="ES22" s="44">
        <v>199</v>
      </c>
      <c r="ET22" s="16">
        <v>100232183759</v>
      </c>
      <c r="EU22" s="17" t="s">
        <v>36</v>
      </c>
      <c r="EV22" s="52" t="s">
        <v>36</v>
      </c>
      <c r="EW22" s="44">
        <v>199</v>
      </c>
      <c r="EX22" s="16">
        <v>100232183759</v>
      </c>
      <c r="EY22" s="17" t="s">
        <v>36</v>
      </c>
      <c r="EZ22" s="52" t="s">
        <v>36</v>
      </c>
      <c r="FA22" s="44">
        <v>199</v>
      </c>
      <c r="FB22" s="16">
        <v>100232183759</v>
      </c>
      <c r="FC22" s="17" t="s">
        <v>36</v>
      </c>
      <c r="FD22" s="52" t="s">
        <v>36</v>
      </c>
      <c r="FE22" s="44">
        <v>199</v>
      </c>
      <c r="FF22" s="16">
        <v>100232183759</v>
      </c>
      <c r="FG22" s="17" t="s">
        <v>36</v>
      </c>
      <c r="FH22" s="52" t="s">
        <v>36</v>
      </c>
      <c r="FI22" s="44">
        <v>199</v>
      </c>
      <c r="FJ22" s="16">
        <v>100232183759</v>
      </c>
      <c r="FK22" s="17" t="s">
        <v>36</v>
      </c>
      <c r="FL22" s="52" t="s">
        <v>36</v>
      </c>
      <c r="FM22" s="44">
        <v>199</v>
      </c>
      <c r="FN22" s="16">
        <v>100232183759</v>
      </c>
      <c r="FO22" s="17" t="s">
        <v>36</v>
      </c>
      <c r="FP22" s="52" t="s">
        <v>36</v>
      </c>
      <c r="FQ22" s="44">
        <v>199</v>
      </c>
      <c r="FR22" s="16">
        <v>100232183759</v>
      </c>
      <c r="FS22" s="17" t="s">
        <v>36</v>
      </c>
      <c r="FT22" s="52" t="s">
        <v>36</v>
      </c>
      <c r="FU22" s="44">
        <v>199</v>
      </c>
      <c r="FV22" s="16">
        <v>100232183759</v>
      </c>
      <c r="FW22" s="17" t="s">
        <v>36</v>
      </c>
      <c r="FX22" s="52" t="s">
        <v>36</v>
      </c>
      <c r="FY22" s="44">
        <v>199</v>
      </c>
      <c r="FZ22" s="16">
        <v>100232183759</v>
      </c>
      <c r="GA22" s="17" t="s">
        <v>36</v>
      </c>
      <c r="GB22" s="52" t="s">
        <v>36</v>
      </c>
      <c r="GC22" s="44">
        <v>199</v>
      </c>
      <c r="GD22" s="16">
        <v>100232183759</v>
      </c>
      <c r="GE22" s="17" t="s">
        <v>36</v>
      </c>
      <c r="GF22" s="52" t="s">
        <v>36</v>
      </c>
      <c r="GG22" s="44">
        <v>199</v>
      </c>
      <c r="GH22" s="16">
        <v>100232183759</v>
      </c>
      <c r="GI22" s="17" t="s">
        <v>36</v>
      </c>
      <c r="GJ22" s="52" t="s">
        <v>36</v>
      </c>
      <c r="GK22" s="44">
        <v>199</v>
      </c>
      <c r="GL22" s="16">
        <v>100232183759</v>
      </c>
      <c r="GM22" s="17" t="s">
        <v>36</v>
      </c>
      <c r="GN22" s="52" t="s">
        <v>36</v>
      </c>
      <c r="GO22" s="44">
        <v>199</v>
      </c>
      <c r="GP22" s="16">
        <v>100232183759</v>
      </c>
      <c r="GQ22" s="17" t="s">
        <v>36</v>
      </c>
      <c r="GR22" s="52" t="s">
        <v>36</v>
      </c>
      <c r="GS22" s="44">
        <v>199</v>
      </c>
      <c r="GT22" s="16">
        <v>100232183759</v>
      </c>
      <c r="GU22" s="17" t="s">
        <v>36</v>
      </c>
      <c r="GV22" s="52" t="s">
        <v>36</v>
      </c>
      <c r="GW22" s="44">
        <v>199</v>
      </c>
      <c r="GX22" s="16">
        <v>100232183759</v>
      </c>
      <c r="GY22" s="17" t="s">
        <v>36</v>
      </c>
      <c r="GZ22" s="52" t="s">
        <v>36</v>
      </c>
      <c r="HA22" s="44">
        <v>199</v>
      </c>
      <c r="HB22" s="16">
        <v>100232183759</v>
      </c>
      <c r="HC22" s="17" t="s">
        <v>36</v>
      </c>
      <c r="HD22" s="52" t="s">
        <v>36</v>
      </c>
      <c r="HE22" s="44">
        <v>199</v>
      </c>
      <c r="HF22" s="16">
        <v>100232183759</v>
      </c>
      <c r="HG22" s="17" t="s">
        <v>36</v>
      </c>
      <c r="HH22" s="52" t="s">
        <v>36</v>
      </c>
      <c r="HI22" s="44">
        <v>199</v>
      </c>
      <c r="HJ22" s="16">
        <v>100232183759</v>
      </c>
      <c r="HK22" s="17" t="s">
        <v>36</v>
      </c>
      <c r="HL22" s="52" t="s">
        <v>36</v>
      </c>
      <c r="HM22" s="44">
        <v>199</v>
      </c>
      <c r="HN22" s="16">
        <v>100232183759</v>
      </c>
      <c r="HO22" s="17" t="s">
        <v>36</v>
      </c>
      <c r="HP22" s="52" t="s">
        <v>36</v>
      </c>
      <c r="HQ22" s="44">
        <v>199</v>
      </c>
      <c r="HR22" s="16">
        <v>100232183759</v>
      </c>
      <c r="HS22" s="17" t="s">
        <v>36</v>
      </c>
      <c r="HT22" s="52" t="s">
        <v>36</v>
      </c>
      <c r="HU22" s="44">
        <v>199</v>
      </c>
      <c r="HV22" s="16">
        <v>100232183759</v>
      </c>
      <c r="HW22" s="17" t="s">
        <v>36</v>
      </c>
      <c r="HX22" s="52" t="s">
        <v>36</v>
      </c>
      <c r="HY22" s="44">
        <v>199</v>
      </c>
      <c r="HZ22" s="16">
        <v>100232183759</v>
      </c>
      <c r="IA22" s="17" t="s">
        <v>36</v>
      </c>
      <c r="IB22" s="52" t="s">
        <v>36</v>
      </c>
      <c r="IC22" s="44">
        <v>199</v>
      </c>
      <c r="ID22" s="16">
        <v>100232183759</v>
      </c>
      <c r="IE22" s="17" t="s">
        <v>36</v>
      </c>
      <c r="IF22" s="52" t="s">
        <v>36</v>
      </c>
      <c r="IG22" s="44">
        <v>199</v>
      </c>
      <c r="IH22" s="16">
        <v>100232183759</v>
      </c>
      <c r="II22" s="17" t="s">
        <v>36</v>
      </c>
      <c r="IJ22" s="52" t="s">
        <v>36</v>
      </c>
      <c r="IK22" s="44">
        <v>199</v>
      </c>
      <c r="IL22" s="16">
        <v>100232183759</v>
      </c>
      <c r="IM22" s="17" t="s">
        <v>36</v>
      </c>
      <c r="IN22" s="52" t="s">
        <v>36</v>
      </c>
      <c r="IO22" s="44">
        <v>199</v>
      </c>
      <c r="IP22" s="16">
        <v>100232183759</v>
      </c>
      <c r="IQ22" s="17" t="s">
        <v>36</v>
      </c>
      <c r="IR22" s="52" t="s">
        <v>36</v>
      </c>
      <c r="IS22" s="44">
        <v>199</v>
      </c>
      <c r="IT22" s="16">
        <v>100232183759</v>
      </c>
      <c r="IU22" s="17" t="s">
        <v>36</v>
      </c>
      <c r="IV22" s="52" t="s">
        <v>36</v>
      </c>
    </row>
    <row r="23" spans="1:256" s="19" customFormat="1" ht="30" x14ac:dyDescent="0.25">
      <c r="A23" s="45">
        <v>204</v>
      </c>
      <c r="B23" s="57">
        <v>100232169483</v>
      </c>
      <c r="C23" s="58" t="s">
        <v>37</v>
      </c>
      <c r="D23" s="75" t="s">
        <v>38</v>
      </c>
      <c r="E23" s="50">
        <v>30</v>
      </c>
      <c r="F23" s="50">
        <v>5500</v>
      </c>
      <c r="G23" s="50">
        <v>5500</v>
      </c>
      <c r="H23" s="61">
        <f t="shared" si="0"/>
        <v>660</v>
      </c>
      <c r="I23" s="21">
        <f t="shared" si="1"/>
        <v>660</v>
      </c>
    </row>
    <row r="24" spans="1:256" s="19" customFormat="1" ht="15.75" x14ac:dyDescent="0.25">
      <c r="A24" s="45">
        <v>224</v>
      </c>
      <c r="B24" s="57">
        <v>100112371371</v>
      </c>
      <c r="C24" s="58" t="s">
        <v>39</v>
      </c>
      <c r="D24" s="77" t="s">
        <v>40</v>
      </c>
      <c r="E24" s="75">
        <v>30</v>
      </c>
      <c r="F24" s="77">
        <v>5500</v>
      </c>
      <c r="G24" s="77">
        <v>5500</v>
      </c>
      <c r="H24" s="61">
        <f t="shared" si="0"/>
        <v>660</v>
      </c>
      <c r="I24" s="21">
        <f>G24*12/100</f>
        <v>660</v>
      </c>
    </row>
    <row r="25" spans="1:256" s="19" customFormat="1" ht="15.75" x14ac:dyDescent="0.25">
      <c r="A25" s="45">
        <v>226</v>
      </c>
      <c r="B25" s="57">
        <v>100310052599</v>
      </c>
      <c r="C25" s="58" t="s">
        <v>41</v>
      </c>
      <c r="D25" s="78" t="s">
        <v>42</v>
      </c>
      <c r="E25" s="50">
        <v>30</v>
      </c>
      <c r="F25" s="77">
        <v>2500</v>
      </c>
      <c r="G25" s="77">
        <v>2500</v>
      </c>
      <c r="H25" s="61">
        <f t="shared" si="0"/>
        <v>300</v>
      </c>
      <c r="I25" s="21"/>
    </row>
    <row r="26" spans="1:256" s="19" customFormat="1" ht="15.75" x14ac:dyDescent="0.25">
      <c r="A26" s="45">
        <v>252</v>
      </c>
      <c r="B26" s="57">
        <v>100373345016</v>
      </c>
      <c r="C26" s="58" t="s">
        <v>43</v>
      </c>
      <c r="D26" s="79" t="s">
        <v>44</v>
      </c>
      <c r="E26" s="77">
        <v>30</v>
      </c>
      <c r="F26" s="80">
        <v>5500</v>
      </c>
      <c r="G26" s="80">
        <v>5500</v>
      </c>
      <c r="H26" s="61">
        <f t="shared" si="0"/>
        <v>660</v>
      </c>
      <c r="I26" s="21">
        <f>G26*12/100</f>
        <v>660</v>
      </c>
    </row>
    <row r="27" spans="1:256" s="19" customFormat="1" ht="15.75" x14ac:dyDescent="0.25">
      <c r="A27" s="45">
        <v>261</v>
      </c>
      <c r="B27" s="57">
        <v>100222141431</v>
      </c>
      <c r="C27" s="58" t="s">
        <v>45</v>
      </c>
      <c r="D27" s="81" t="s">
        <v>45</v>
      </c>
      <c r="E27" s="82">
        <v>30</v>
      </c>
      <c r="F27" s="80">
        <v>3525</v>
      </c>
      <c r="G27" s="80">
        <v>3525</v>
      </c>
      <c r="H27" s="61">
        <f t="shared" si="0"/>
        <v>423</v>
      </c>
      <c r="I27" s="21"/>
    </row>
    <row r="28" spans="1:256" s="19" customFormat="1" ht="15.75" x14ac:dyDescent="0.25">
      <c r="A28" s="45">
        <v>269</v>
      </c>
      <c r="B28" s="57">
        <v>100353847332</v>
      </c>
      <c r="C28" s="58" t="s">
        <v>46</v>
      </c>
      <c r="D28" s="83" t="s">
        <v>47</v>
      </c>
      <c r="E28" s="83">
        <v>30</v>
      </c>
      <c r="F28" s="84">
        <v>5500</v>
      </c>
      <c r="G28" s="84">
        <v>5500</v>
      </c>
      <c r="H28" s="61">
        <f t="shared" si="0"/>
        <v>660</v>
      </c>
      <c r="I28" s="21">
        <f t="shared" ref="I28:I58" si="2">G28*12/100</f>
        <v>660</v>
      </c>
    </row>
    <row r="29" spans="1:256" s="19" customFormat="1" ht="15.75" x14ac:dyDescent="0.25">
      <c r="A29" s="45">
        <v>309</v>
      </c>
      <c r="B29" s="57">
        <v>100353888563</v>
      </c>
      <c r="C29" s="58" t="s">
        <v>48</v>
      </c>
      <c r="D29" s="85" t="s">
        <v>48</v>
      </c>
      <c r="E29" s="83">
        <v>30</v>
      </c>
      <c r="F29" s="84">
        <v>5500</v>
      </c>
      <c r="G29" s="84">
        <v>5500</v>
      </c>
      <c r="H29" s="61">
        <f t="shared" si="0"/>
        <v>660</v>
      </c>
      <c r="I29" s="21"/>
    </row>
    <row r="30" spans="1:256" s="19" customFormat="1" ht="15.75" x14ac:dyDescent="0.25">
      <c r="A30" s="45">
        <v>321</v>
      </c>
      <c r="B30" s="57">
        <v>100354060655</v>
      </c>
      <c r="C30" s="58" t="s">
        <v>49</v>
      </c>
      <c r="D30" s="86" t="s">
        <v>50</v>
      </c>
      <c r="E30" s="83">
        <v>30</v>
      </c>
      <c r="F30" s="84">
        <v>2500</v>
      </c>
      <c r="G30" s="84">
        <v>2500</v>
      </c>
      <c r="H30" s="61">
        <f t="shared" si="0"/>
        <v>300</v>
      </c>
      <c r="I30" s="21"/>
    </row>
    <row r="31" spans="1:256" s="19" customFormat="1" ht="15.75" x14ac:dyDescent="0.25">
      <c r="A31" s="45">
        <v>324</v>
      </c>
      <c r="B31" s="57">
        <v>100366458827</v>
      </c>
      <c r="C31" s="58" t="s">
        <v>51</v>
      </c>
      <c r="D31" s="87" t="s">
        <v>52</v>
      </c>
      <c r="E31" s="88">
        <v>30</v>
      </c>
      <c r="F31" s="89">
        <v>5500</v>
      </c>
      <c r="G31" s="89">
        <v>5500</v>
      </c>
      <c r="H31" s="61">
        <f t="shared" si="0"/>
        <v>660</v>
      </c>
      <c r="I31" s="21">
        <f t="shared" si="2"/>
        <v>660</v>
      </c>
    </row>
    <row r="32" spans="1:256" s="19" customFormat="1" ht="26.25" x14ac:dyDescent="0.25">
      <c r="A32" s="45">
        <v>326</v>
      </c>
      <c r="B32" s="57">
        <v>100353855918</v>
      </c>
      <c r="C32" s="58" t="s">
        <v>53</v>
      </c>
      <c r="D32" s="90" t="s">
        <v>54</v>
      </c>
      <c r="E32" s="88">
        <v>30</v>
      </c>
      <c r="F32" s="89">
        <v>5500</v>
      </c>
      <c r="G32" s="89">
        <v>5500</v>
      </c>
      <c r="H32" s="61">
        <f t="shared" si="0"/>
        <v>660</v>
      </c>
      <c r="I32" s="21">
        <f t="shared" si="2"/>
        <v>660</v>
      </c>
    </row>
    <row r="33" spans="1:9" s="19" customFormat="1" ht="15.75" x14ac:dyDescent="0.25">
      <c r="A33" s="45">
        <v>335</v>
      </c>
      <c r="B33" s="57">
        <v>100353697416</v>
      </c>
      <c r="C33" s="58" t="s">
        <v>55</v>
      </c>
      <c r="D33" s="91" t="s">
        <v>56</v>
      </c>
      <c r="E33" s="88">
        <v>30</v>
      </c>
      <c r="F33" s="89">
        <v>2500</v>
      </c>
      <c r="G33" s="89">
        <v>2500</v>
      </c>
      <c r="H33" s="61">
        <f t="shared" si="0"/>
        <v>300</v>
      </c>
      <c r="I33" s="21"/>
    </row>
    <row r="34" spans="1:9" s="19" customFormat="1" ht="15.75" x14ac:dyDescent="0.25">
      <c r="A34" s="45">
        <v>337</v>
      </c>
      <c r="B34" s="57">
        <v>100353650100</v>
      </c>
      <c r="C34" s="58" t="s">
        <v>57</v>
      </c>
      <c r="D34" s="92" t="s">
        <v>58</v>
      </c>
      <c r="E34" s="88">
        <v>30</v>
      </c>
      <c r="F34" s="89">
        <v>5500</v>
      </c>
      <c r="G34" s="89">
        <v>5500</v>
      </c>
      <c r="H34" s="61">
        <f t="shared" si="0"/>
        <v>660</v>
      </c>
      <c r="I34" s="21">
        <f t="shared" si="2"/>
        <v>660</v>
      </c>
    </row>
    <row r="35" spans="1:9" s="19" customFormat="1" ht="15.75" x14ac:dyDescent="0.25">
      <c r="A35" s="45">
        <v>348</v>
      </c>
      <c r="B35" s="57">
        <v>100353616736</v>
      </c>
      <c r="C35" s="58" t="s">
        <v>59</v>
      </c>
      <c r="D35" s="93" t="s">
        <v>60</v>
      </c>
      <c r="E35" s="88">
        <v>30</v>
      </c>
      <c r="F35" s="89">
        <v>5000</v>
      </c>
      <c r="G35" s="89">
        <v>5000</v>
      </c>
      <c r="H35" s="61">
        <f t="shared" si="0"/>
        <v>600</v>
      </c>
      <c r="I35" s="21"/>
    </row>
    <row r="36" spans="1:9" s="19" customFormat="1" ht="15.75" x14ac:dyDescent="0.25">
      <c r="A36" s="45">
        <v>358</v>
      </c>
      <c r="B36" s="57">
        <v>100404638047</v>
      </c>
      <c r="C36" s="58" t="s">
        <v>61</v>
      </c>
      <c r="D36" s="94" t="s">
        <v>62</v>
      </c>
      <c r="E36" s="83">
        <v>30</v>
      </c>
      <c r="F36" s="89">
        <v>2500</v>
      </c>
      <c r="G36" s="89">
        <v>2500</v>
      </c>
      <c r="H36" s="61">
        <f t="shared" si="0"/>
        <v>300</v>
      </c>
      <c r="I36" s="21"/>
    </row>
    <row r="37" spans="1:9" s="19" customFormat="1" ht="15.75" x14ac:dyDescent="0.25">
      <c r="A37" s="45">
        <v>372</v>
      </c>
      <c r="B37" s="57">
        <v>100091836225</v>
      </c>
      <c r="C37" s="58" t="s">
        <v>63</v>
      </c>
      <c r="D37" s="95" t="s">
        <v>64</v>
      </c>
      <c r="E37" s="83">
        <v>30</v>
      </c>
      <c r="F37" s="96">
        <v>5500</v>
      </c>
      <c r="G37" s="96">
        <v>5500</v>
      </c>
      <c r="H37" s="61">
        <f t="shared" si="0"/>
        <v>660</v>
      </c>
      <c r="I37" s="21">
        <f t="shared" si="2"/>
        <v>660</v>
      </c>
    </row>
    <row r="38" spans="1:9" s="19" customFormat="1" ht="15.75" x14ac:dyDescent="0.25">
      <c r="A38" s="45">
        <v>378</v>
      </c>
      <c r="B38" s="57">
        <v>100283282515</v>
      </c>
      <c r="C38" s="58" t="s">
        <v>65</v>
      </c>
      <c r="D38" s="95" t="s">
        <v>65</v>
      </c>
      <c r="E38" s="83">
        <v>30</v>
      </c>
      <c r="F38" s="89">
        <v>5500</v>
      </c>
      <c r="G38" s="89">
        <v>5500</v>
      </c>
      <c r="H38" s="61">
        <f t="shared" si="0"/>
        <v>660</v>
      </c>
      <c r="I38" s="21">
        <f t="shared" si="2"/>
        <v>660</v>
      </c>
    </row>
    <row r="39" spans="1:9" s="19" customFormat="1" ht="15.75" x14ac:dyDescent="0.25">
      <c r="A39" s="45">
        <v>390</v>
      </c>
      <c r="B39" s="57">
        <v>100353938598</v>
      </c>
      <c r="C39" s="58" t="s">
        <v>66</v>
      </c>
      <c r="D39" s="92" t="s">
        <v>67</v>
      </c>
      <c r="E39" s="83">
        <v>30</v>
      </c>
      <c r="F39" s="88">
        <v>5500</v>
      </c>
      <c r="G39" s="88">
        <v>5500</v>
      </c>
      <c r="H39" s="61">
        <f t="shared" si="0"/>
        <v>660</v>
      </c>
      <c r="I39" s="21">
        <f t="shared" si="2"/>
        <v>660</v>
      </c>
    </row>
    <row r="40" spans="1:9" s="19" customFormat="1" ht="15.75" x14ac:dyDescent="0.25">
      <c r="A40" s="45">
        <v>391</v>
      </c>
      <c r="B40" s="57">
        <v>100353855034</v>
      </c>
      <c r="C40" s="58" t="s">
        <v>68</v>
      </c>
      <c r="D40" s="97" t="s">
        <v>69</v>
      </c>
      <c r="E40" s="83">
        <v>30</v>
      </c>
      <c r="F40" s="88">
        <v>3475</v>
      </c>
      <c r="G40" s="88">
        <v>3475</v>
      </c>
      <c r="H40" s="61">
        <f t="shared" si="0"/>
        <v>417</v>
      </c>
      <c r="I40" s="21"/>
    </row>
    <row r="41" spans="1:9" s="19" customFormat="1" ht="15.75" x14ac:dyDescent="0.25">
      <c r="A41" s="45">
        <v>400</v>
      </c>
      <c r="B41" s="57">
        <v>100358397938</v>
      </c>
      <c r="C41" s="58" t="s">
        <v>70</v>
      </c>
      <c r="D41" s="98" t="s">
        <v>71</v>
      </c>
      <c r="E41" s="83">
        <v>30</v>
      </c>
      <c r="F41" s="88">
        <v>5500</v>
      </c>
      <c r="G41" s="88">
        <v>5500</v>
      </c>
      <c r="H41" s="61">
        <f t="shared" si="0"/>
        <v>660</v>
      </c>
      <c r="I41" s="21">
        <f t="shared" si="2"/>
        <v>660</v>
      </c>
    </row>
    <row r="42" spans="1:9" s="19" customFormat="1" ht="18" x14ac:dyDescent="0.25">
      <c r="A42" s="45">
        <v>415</v>
      </c>
      <c r="B42" s="57">
        <v>100358404005</v>
      </c>
      <c r="C42" s="58" t="s">
        <v>72</v>
      </c>
      <c r="D42" s="99" t="s">
        <v>73</v>
      </c>
      <c r="E42" s="83">
        <v>30</v>
      </c>
      <c r="F42" s="88">
        <v>2500</v>
      </c>
      <c r="G42" s="88">
        <v>2500</v>
      </c>
      <c r="H42" s="61">
        <f t="shared" si="0"/>
        <v>300</v>
      </c>
      <c r="I42" s="21"/>
    </row>
    <row r="43" spans="1:9" s="19" customFormat="1" ht="15.75" x14ac:dyDescent="0.25">
      <c r="A43" s="45">
        <v>429</v>
      </c>
      <c r="B43" s="57">
        <v>100140247570</v>
      </c>
      <c r="C43" s="58" t="s">
        <v>74</v>
      </c>
      <c r="D43" s="55" t="s">
        <v>74</v>
      </c>
      <c r="E43" s="83">
        <v>30</v>
      </c>
      <c r="F43" s="88">
        <v>2500</v>
      </c>
      <c r="G43" s="88">
        <v>2500</v>
      </c>
      <c r="H43" s="61">
        <f t="shared" si="0"/>
        <v>300</v>
      </c>
      <c r="I43" s="21"/>
    </row>
    <row r="44" spans="1:9" s="19" customFormat="1" ht="16.5" x14ac:dyDescent="0.25">
      <c r="A44" s="45">
        <v>434</v>
      </c>
      <c r="B44" s="57">
        <v>100353735967</v>
      </c>
      <c r="C44" s="58" t="s">
        <v>75</v>
      </c>
      <c r="D44" s="100" t="s">
        <v>76</v>
      </c>
      <c r="E44" s="83">
        <v>30</v>
      </c>
      <c r="F44" s="54">
        <v>5500</v>
      </c>
      <c r="G44" s="54">
        <v>5500</v>
      </c>
      <c r="H44" s="61">
        <f t="shared" si="0"/>
        <v>660</v>
      </c>
      <c r="I44" s="21">
        <f t="shared" si="2"/>
        <v>660</v>
      </c>
    </row>
    <row r="45" spans="1:9" s="19" customFormat="1" ht="16.5" x14ac:dyDescent="0.25">
      <c r="A45" s="45">
        <v>435</v>
      </c>
      <c r="B45" s="57">
        <v>100358401923</v>
      </c>
      <c r="C45" s="58" t="s">
        <v>77</v>
      </c>
      <c r="D45" s="100" t="s">
        <v>78</v>
      </c>
      <c r="E45" s="83">
        <v>30</v>
      </c>
      <c r="F45" s="54">
        <v>2000</v>
      </c>
      <c r="G45" s="54">
        <v>2000</v>
      </c>
      <c r="H45" s="61">
        <f t="shared" si="0"/>
        <v>240</v>
      </c>
      <c r="I45" s="21">
        <f t="shared" si="2"/>
        <v>240</v>
      </c>
    </row>
    <row r="46" spans="1:9" s="19" customFormat="1" ht="18" x14ac:dyDescent="0.25">
      <c r="A46" s="45">
        <v>443</v>
      </c>
      <c r="B46" s="57">
        <v>100205552698</v>
      </c>
      <c r="C46" s="58" t="s">
        <v>79</v>
      </c>
      <c r="D46" s="101" t="s">
        <v>80</v>
      </c>
      <c r="E46" s="83">
        <v>30</v>
      </c>
      <c r="F46" s="102">
        <v>5500</v>
      </c>
      <c r="G46" s="102">
        <v>5500</v>
      </c>
      <c r="H46" s="61">
        <f t="shared" si="0"/>
        <v>660</v>
      </c>
      <c r="I46" s="21">
        <f t="shared" si="2"/>
        <v>660</v>
      </c>
    </row>
    <row r="47" spans="1:9" s="19" customFormat="1" ht="33" x14ac:dyDescent="0.25">
      <c r="A47" s="45">
        <v>447</v>
      </c>
      <c r="B47" s="57">
        <v>100134159284</v>
      </c>
      <c r="C47" s="58" t="s">
        <v>81</v>
      </c>
      <c r="D47" s="103" t="s">
        <v>81</v>
      </c>
      <c r="E47" s="83">
        <v>30</v>
      </c>
      <c r="F47" s="103">
        <v>5500</v>
      </c>
      <c r="G47" s="103">
        <v>5500</v>
      </c>
      <c r="H47" s="61">
        <f t="shared" si="0"/>
        <v>660</v>
      </c>
      <c r="I47" s="21">
        <f t="shared" si="2"/>
        <v>660</v>
      </c>
    </row>
    <row r="48" spans="1:9" s="19" customFormat="1" ht="15.75" x14ac:dyDescent="0.25">
      <c r="A48" s="45">
        <v>451</v>
      </c>
      <c r="B48" s="57">
        <v>100162007981</v>
      </c>
      <c r="C48" s="58" t="s">
        <v>82</v>
      </c>
      <c r="D48" s="51" t="s">
        <v>83</v>
      </c>
      <c r="E48" s="83">
        <v>30</v>
      </c>
      <c r="F48" s="104">
        <v>3195</v>
      </c>
      <c r="G48" s="104">
        <v>3195</v>
      </c>
      <c r="H48" s="61">
        <f t="shared" si="0"/>
        <v>383.4</v>
      </c>
      <c r="I48" s="21">
        <f t="shared" si="2"/>
        <v>383.4</v>
      </c>
    </row>
    <row r="49" spans="1:9" s="19" customFormat="1" ht="15.75" x14ac:dyDescent="0.25">
      <c r="A49" s="45">
        <v>455</v>
      </c>
      <c r="B49" s="57">
        <v>100333498650</v>
      </c>
      <c r="C49" s="58" t="s">
        <v>84</v>
      </c>
      <c r="D49" s="105" t="s">
        <v>84</v>
      </c>
      <c r="E49" s="83">
        <v>30</v>
      </c>
      <c r="F49" s="104">
        <v>2500</v>
      </c>
      <c r="G49" s="104">
        <v>2500</v>
      </c>
      <c r="H49" s="61">
        <f t="shared" si="0"/>
        <v>300</v>
      </c>
      <c r="I49" s="21"/>
    </row>
    <row r="50" spans="1:9" s="19" customFormat="1" ht="18" x14ac:dyDescent="0.25">
      <c r="A50" s="45">
        <v>466</v>
      </c>
      <c r="B50" s="57">
        <v>100232175087</v>
      </c>
      <c r="C50" s="58" t="s">
        <v>85</v>
      </c>
      <c r="D50" s="106" t="s">
        <v>86</v>
      </c>
      <c r="E50" s="83">
        <v>30</v>
      </c>
      <c r="F50" s="107">
        <v>3195</v>
      </c>
      <c r="G50" s="107">
        <v>3195</v>
      </c>
      <c r="H50" s="61">
        <f t="shared" si="0"/>
        <v>383.4</v>
      </c>
      <c r="I50" s="21">
        <f t="shared" si="2"/>
        <v>383.4</v>
      </c>
    </row>
    <row r="51" spans="1:9" s="19" customFormat="1" ht="15.75" x14ac:dyDescent="0.25">
      <c r="A51" s="45">
        <v>481</v>
      </c>
      <c r="B51" s="57">
        <v>100358411358</v>
      </c>
      <c r="C51" s="58" t="s">
        <v>88</v>
      </c>
      <c r="D51" s="108" t="s">
        <v>87</v>
      </c>
      <c r="E51" s="83">
        <v>30</v>
      </c>
      <c r="F51" s="109">
        <v>5500</v>
      </c>
      <c r="G51" s="109">
        <v>5500</v>
      </c>
      <c r="H51" s="61">
        <f t="shared" si="0"/>
        <v>660</v>
      </c>
      <c r="I51" s="21">
        <f t="shared" si="2"/>
        <v>660</v>
      </c>
    </row>
    <row r="52" spans="1:9" s="19" customFormat="1" ht="15.75" x14ac:dyDescent="0.25">
      <c r="A52" s="45">
        <v>482</v>
      </c>
      <c r="B52" s="57">
        <v>100353504634</v>
      </c>
      <c r="C52" s="58" t="s">
        <v>90</v>
      </c>
      <c r="D52" s="108" t="s">
        <v>89</v>
      </c>
      <c r="E52" s="83">
        <v>30</v>
      </c>
      <c r="F52" s="109">
        <v>5500</v>
      </c>
      <c r="G52" s="109">
        <v>5500</v>
      </c>
      <c r="H52" s="61">
        <f t="shared" si="0"/>
        <v>660</v>
      </c>
      <c r="I52" s="21">
        <f t="shared" si="2"/>
        <v>660</v>
      </c>
    </row>
    <row r="53" spans="1:9" s="19" customFormat="1" ht="15.75" x14ac:dyDescent="0.25">
      <c r="A53" s="45">
        <v>483</v>
      </c>
      <c r="B53" s="57">
        <v>100353780044</v>
      </c>
      <c r="C53" s="58" t="s">
        <v>92</v>
      </c>
      <c r="D53" s="108" t="s">
        <v>91</v>
      </c>
      <c r="E53" s="83">
        <v>30</v>
      </c>
      <c r="F53" s="109">
        <v>5500</v>
      </c>
      <c r="G53" s="109">
        <v>5500</v>
      </c>
      <c r="H53" s="61">
        <f t="shared" si="0"/>
        <v>660</v>
      </c>
      <c r="I53" s="21">
        <f t="shared" si="2"/>
        <v>660</v>
      </c>
    </row>
    <row r="54" spans="1:9" s="19" customFormat="1" ht="15.75" x14ac:dyDescent="0.25">
      <c r="A54" s="45">
        <v>485</v>
      </c>
      <c r="B54" s="57">
        <v>100236190637</v>
      </c>
      <c r="C54" s="58" t="s">
        <v>94</v>
      </c>
      <c r="D54" s="108" t="s">
        <v>93</v>
      </c>
      <c r="E54" s="83">
        <v>30</v>
      </c>
      <c r="F54" s="109">
        <v>5500</v>
      </c>
      <c r="G54" s="109">
        <v>5500</v>
      </c>
      <c r="H54" s="61">
        <f t="shared" si="0"/>
        <v>660</v>
      </c>
      <c r="I54" s="21">
        <f t="shared" si="2"/>
        <v>660</v>
      </c>
    </row>
    <row r="55" spans="1:9" s="42" customFormat="1" ht="15.75" x14ac:dyDescent="0.25">
      <c r="A55" s="45">
        <v>487</v>
      </c>
      <c r="B55" s="57">
        <v>100358418267</v>
      </c>
      <c r="C55" s="58" t="s">
        <v>96</v>
      </c>
      <c r="D55" s="108" t="s">
        <v>95</v>
      </c>
      <c r="E55" s="83">
        <v>30</v>
      </c>
      <c r="F55" s="109">
        <v>3475</v>
      </c>
      <c r="G55" s="109">
        <v>3475</v>
      </c>
      <c r="H55" s="61">
        <f t="shared" si="0"/>
        <v>417</v>
      </c>
      <c r="I55" s="21">
        <f t="shared" si="2"/>
        <v>417</v>
      </c>
    </row>
    <row r="56" spans="1:9" s="19" customFormat="1" ht="15.75" x14ac:dyDescent="0.25">
      <c r="A56" s="45">
        <v>491</v>
      </c>
      <c r="B56" s="57">
        <v>100353509071</v>
      </c>
      <c r="C56" s="58" t="s">
        <v>97</v>
      </c>
      <c r="D56" s="58" t="s">
        <v>97</v>
      </c>
      <c r="E56" s="83">
        <v>30</v>
      </c>
      <c r="F56" s="110">
        <v>3195</v>
      </c>
      <c r="G56" s="110">
        <v>3195</v>
      </c>
      <c r="H56" s="61">
        <f t="shared" si="0"/>
        <v>383.4</v>
      </c>
      <c r="I56" s="21">
        <f t="shared" si="2"/>
        <v>383.4</v>
      </c>
    </row>
    <row r="57" spans="1:9" s="19" customFormat="1" ht="15.75" x14ac:dyDescent="0.25">
      <c r="A57" s="45">
        <v>492</v>
      </c>
      <c r="B57" s="57">
        <v>100353508759</v>
      </c>
      <c r="C57" s="58" t="s">
        <v>98</v>
      </c>
      <c r="D57" s="58" t="s">
        <v>98</v>
      </c>
      <c r="E57" s="83">
        <v>30</v>
      </c>
      <c r="F57" s="110">
        <v>3195</v>
      </c>
      <c r="G57" s="110">
        <v>3195</v>
      </c>
      <c r="H57" s="61">
        <f t="shared" si="0"/>
        <v>383.4</v>
      </c>
      <c r="I57" s="21">
        <f t="shared" si="2"/>
        <v>383.4</v>
      </c>
    </row>
    <row r="58" spans="1:9" s="19" customFormat="1" ht="15.75" x14ac:dyDescent="0.25">
      <c r="A58" s="45">
        <v>493</v>
      </c>
      <c r="B58" s="57">
        <v>100353509419</v>
      </c>
      <c r="C58" s="58" t="s">
        <v>99</v>
      </c>
      <c r="D58" s="58" t="s">
        <v>99</v>
      </c>
      <c r="E58" s="83">
        <v>30</v>
      </c>
      <c r="F58" s="110">
        <v>3195</v>
      </c>
      <c r="G58" s="110">
        <v>3195</v>
      </c>
      <c r="H58" s="61">
        <f t="shared" si="0"/>
        <v>383.4</v>
      </c>
      <c r="I58" s="21">
        <f t="shared" si="2"/>
        <v>383.4</v>
      </c>
    </row>
    <row r="59" spans="1:9" s="19" customFormat="1" ht="15.75" x14ac:dyDescent="0.25">
      <c r="A59" s="45">
        <v>496</v>
      </c>
      <c r="B59" s="57">
        <v>100353505607</v>
      </c>
      <c r="C59" s="58" t="s">
        <v>100</v>
      </c>
      <c r="D59" s="58" t="s">
        <v>100</v>
      </c>
      <c r="E59" s="83">
        <v>30</v>
      </c>
      <c r="F59" s="110">
        <v>2000</v>
      </c>
      <c r="G59" s="110">
        <v>2000</v>
      </c>
      <c r="H59" s="61">
        <f t="shared" si="0"/>
        <v>240</v>
      </c>
      <c r="I59" s="21">
        <f>G59*12/100</f>
        <v>240</v>
      </c>
    </row>
    <row r="60" spans="1:9" s="19" customFormat="1" ht="15.75" x14ac:dyDescent="0.25">
      <c r="A60" s="45">
        <v>498</v>
      </c>
      <c r="B60" s="57">
        <v>100353509092</v>
      </c>
      <c r="C60" s="58" t="s">
        <v>101</v>
      </c>
      <c r="D60" s="58" t="s">
        <v>101</v>
      </c>
      <c r="E60" s="83">
        <v>30</v>
      </c>
      <c r="F60" s="110">
        <v>3195</v>
      </c>
      <c r="G60" s="110">
        <v>3195</v>
      </c>
      <c r="H60" s="61">
        <f t="shared" si="0"/>
        <v>383.4</v>
      </c>
      <c r="I60" s="21">
        <f>G60*12/100</f>
        <v>383.4</v>
      </c>
    </row>
    <row r="61" spans="1:9" s="19" customFormat="1" ht="15.75" x14ac:dyDescent="0.25">
      <c r="A61" s="45">
        <v>528</v>
      </c>
      <c r="B61" s="57">
        <v>100353982087</v>
      </c>
      <c r="C61" s="58" t="s">
        <v>102</v>
      </c>
      <c r="D61" s="111" t="s">
        <v>103</v>
      </c>
      <c r="E61" s="83">
        <v>30</v>
      </c>
      <c r="F61" s="110">
        <v>2500</v>
      </c>
      <c r="G61" s="110">
        <v>2500</v>
      </c>
      <c r="H61" s="61">
        <f t="shared" si="0"/>
        <v>300</v>
      </c>
      <c r="I61" s="21"/>
    </row>
    <row r="62" spans="1:9" s="19" customFormat="1" ht="15.75" x14ac:dyDescent="0.25">
      <c r="A62" s="45">
        <v>564</v>
      </c>
      <c r="B62" s="57">
        <v>100358576652</v>
      </c>
      <c r="C62" s="58" t="s">
        <v>104</v>
      </c>
      <c r="D62" s="86" t="s">
        <v>105</v>
      </c>
      <c r="E62" s="83">
        <v>30</v>
      </c>
      <c r="F62" s="112">
        <v>5500</v>
      </c>
      <c r="G62" s="112">
        <v>5500</v>
      </c>
      <c r="H62" s="61">
        <f t="shared" si="0"/>
        <v>660</v>
      </c>
      <c r="I62" s="21" t="e">
        <f>#REF!*12/100</f>
        <v>#REF!</v>
      </c>
    </row>
    <row r="63" spans="1:9" ht="29.25" customHeight="1" x14ac:dyDescent="0.25">
      <c r="A63" s="113"/>
      <c r="B63" s="114"/>
      <c r="C63" s="46"/>
      <c r="D63" s="115"/>
      <c r="E63" s="46"/>
      <c r="F63" s="116">
        <f>SUM(F3:F62)</f>
        <v>247914</v>
      </c>
      <c r="G63" s="116">
        <f>SUM(G3:G62)</f>
        <v>247914</v>
      </c>
      <c r="H63" s="116">
        <f>SUM(H3:H62)</f>
        <v>29749.680000000008</v>
      </c>
      <c r="I63" s="23"/>
    </row>
    <row r="64" spans="1:9" ht="17.25" x14ac:dyDescent="0.25">
      <c r="A64" s="24"/>
      <c r="B64" s="25"/>
      <c r="C64" s="26"/>
      <c r="D64" s="26"/>
      <c r="E64" s="27"/>
      <c r="F64" s="28"/>
      <c r="G64" s="29"/>
      <c r="H64" s="29"/>
      <c r="I64" s="23"/>
    </row>
    <row r="66" spans="1:14" x14ac:dyDescent="0.25">
      <c r="H66" s="36"/>
      <c r="I66" s="37"/>
    </row>
    <row r="67" spans="1:14" x14ac:dyDescent="0.25">
      <c r="A67" s="44"/>
      <c r="B67" s="16"/>
      <c r="C67" s="17"/>
      <c r="D67" s="53"/>
      <c r="E67" s="47"/>
    </row>
    <row r="68" spans="1:14" x14ac:dyDescent="0.25">
      <c r="I68" s="38"/>
    </row>
    <row r="70" spans="1:14" x14ac:dyDescent="0.25">
      <c r="F70" s="39"/>
      <c r="G70" s="39"/>
      <c r="I70" s="38"/>
    </row>
    <row r="72" spans="1:14" x14ac:dyDescent="0.25">
      <c r="F72" s="39"/>
    </row>
    <row r="73" spans="1:14" x14ac:dyDescent="0.25">
      <c r="F73" s="39"/>
    </row>
    <row r="74" spans="1:14" x14ac:dyDescent="0.25">
      <c r="G74" s="39"/>
    </row>
    <row r="75" spans="1:14" x14ac:dyDescent="0.25">
      <c r="F75" s="40"/>
      <c r="G75" s="40"/>
      <c r="I75" s="23"/>
    </row>
    <row r="76" spans="1:14" x14ac:dyDescent="0.25">
      <c r="F76" s="40"/>
      <c r="G76" s="41"/>
    </row>
    <row r="77" spans="1:14" x14ac:dyDescent="0.25">
      <c r="F77" s="40"/>
      <c r="G77" s="40"/>
      <c r="I77" s="23"/>
    </row>
    <row r="78" spans="1:14" ht="25.5" x14ac:dyDescent="0.25">
      <c r="A78" s="18" t="s">
        <v>106</v>
      </c>
      <c r="B78" s="20">
        <v>19250</v>
      </c>
      <c r="C78" s="20">
        <v>13960</v>
      </c>
      <c r="D78" s="20">
        <v>1800</v>
      </c>
      <c r="E78" s="30"/>
      <c r="F78" s="31"/>
      <c r="G78" s="31"/>
      <c r="H78" s="31"/>
      <c r="I78" s="32"/>
      <c r="J78" s="33"/>
      <c r="K78" s="40"/>
      <c r="L78" s="40"/>
      <c r="M78" s="35"/>
      <c r="N78" s="22"/>
    </row>
    <row r="80" spans="1:14" x14ac:dyDescent="0.25">
      <c r="E80" s="33">
        <v>42983</v>
      </c>
      <c r="F80" s="34">
        <v>17783</v>
      </c>
      <c r="G80" s="34">
        <f>E80-F80</f>
        <v>25200</v>
      </c>
    </row>
    <row r="81" spans="2:9" x14ac:dyDescent="0.25">
      <c r="G81" s="34">
        <v>18114</v>
      </c>
    </row>
    <row r="82" spans="2:9" x14ac:dyDescent="0.25">
      <c r="G82" s="34">
        <f>SUM(G80:G81)</f>
        <v>43314</v>
      </c>
      <c r="H82" s="35">
        <v>42728</v>
      </c>
      <c r="I82" s="22">
        <f>G82-H82</f>
        <v>586</v>
      </c>
    </row>
    <row r="86" spans="2:9" s="30" customFormat="1" x14ac:dyDescent="0.25">
      <c r="B86" s="31"/>
      <c r="C86" s="31"/>
      <c r="D86" s="32"/>
      <c r="E86" s="33"/>
      <c r="F86" s="34"/>
      <c r="G86" s="34"/>
      <c r="H86" s="35"/>
      <c r="I86" s="22"/>
    </row>
    <row r="117" spans="2:9" s="30" customFormat="1" x14ac:dyDescent="0.25">
      <c r="B117" s="31"/>
      <c r="C117" s="31"/>
      <c r="D117" s="32"/>
      <c r="E117" s="33"/>
      <c r="F117" s="34"/>
      <c r="G117" s="34"/>
      <c r="H117" s="35"/>
      <c r="I117" s="22"/>
    </row>
    <row r="172" spans="2:9" s="30" customFormat="1" x14ac:dyDescent="0.25">
      <c r="B172" s="31"/>
      <c r="C172" s="31"/>
      <c r="D172" s="32"/>
      <c r="E172" s="33"/>
      <c r="F172" s="34"/>
      <c r="G172" s="34"/>
      <c r="H172" s="35"/>
      <c r="I172" s="22"/>
    </row>
  </sheetData>
  <pageMargins left="0.2" right="0.2" top="0.25" bottom="0.26" header="0.16" footer="0.2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Apr08</vt:lpstr>
      <vt:lpstr>May08</vt:lpstr>
      <vt:lpstr>Jun08</vt:lpstr>
      <vt:lpstr>Jul08</vt:lpstr>
      <vt:lpstr>Aug08</vt:lpstr>
      <vt:lpstr>Sep08</vt:lpstr>
      <vt:lpstr>Oct08</vt:lpstr>
      <vt:lpstr>Nov08</vt:lpstr>
      <vt:lpstr>Dec08</vt:lpstr>
      <vt:lpstr>Jan09</vt:lpstr>
      <vt:lpstr>Feb09</vt:lpstr>
      <vt:lpstr>Mar09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MPJAP Account</dc:creator>
  <cp:lastModifiedBy>cloudconvert_16</cp:lastModifiedBy>
  <cp:lastPrinted>2021-12-14T07:10:35Z</cp:lastPrinted>
  <dcterms:created xsi:type="dcterms:W3CDTF">1996-10-14T23:33:28Z</dcterms:created>
  <dcterms:modified xsi:type="dcterms:W3CDTF">2026-03-24T10:10:24Z</dcterms:modified>
</cp:coreProperties>
</file>